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673634F-E466-4889-B838-4928C59C0E28}" xr6:coauthVersionLast="47" xr6:coauthVersionMax="47" xr10:uidLastSave="{00000000-0000-0000-0000-000000000000}"/>
  <bookViews>
    <workbookView xWindow="-120" yWindow="-120" windowWidth="38640" windowHeight="21120" tabRatio="604" xr2:uid="{00000000-000D-0000-FFFF-FFFF00000000}"/>
  </bookViews>
  <sheets>
    <sheet name="Stage" sheetId="1" r:id="rId1"/>
    <sheet name="ChapterInfo" sheetId="2" r:id="rId2"/>
    <sheet name="StageInfo" sheetId="3" r:id="rId3"/>
    <sheet name="StackInfo" sheetId="4" r:id="rId4"/>
    <sheet name="#난이도_계산" sheetId="5" r:id="rId5"/>
    <sheet name="#난이도_곡선" sheetId="6" r:id="rId6"/>
  </sheets>
  <definedNames>
    <definedName name="_xlnm._FilterDatabase" localSheetId="0" hidden="1">Stage!$A$1:$Q$83</definedName>
    <definedName name="_xlnm._FilterDatabase" localSheetId="2" hidden="1">StageInfo!$A$1:$H$58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04" i="5" l="1"/>
  <c r="D504" i="5"/>
  <c r="E504" i="5"/>
  <c r="F504" i="5"/>
  <c r="G504" i="5"/>
  <c r="H504" i="5"/>
  <c r="I504" i="5"/>
  <c r="J504" i="5"/>
  <c r="C10" i="5"/>
  <c r="K504" i="5"/>
  <c r="C505" i="5"/>
  <c r="D505" i="5"/>
  <c r="E505" i="5"/>
  <c r="F505" i="5"/>
  <c r="G505" i="5"/>
  <c r="H505" i="5"/>
  <c r="I505" i="5"/>
  <c r="J505" i="5"/>
  <c r="K505" i="5"/>
  <c r="C506" i="5"/>
  <c r="D506" i="5"/>
  <c r="E506" i="5"/>
  <c r="F506" i="5"/>
  <c r="G506" i="5"/>
  <c r="H506" i="5"/>
  <c r="I506" i="5"/>
  <c r="J506" i="5"/>
  <c r="K506" i="5"/>
  <c r="C507" i="5"/>
  <c r="D507" i="5"/>
  <c r="E507" i="5"/>
  <c r="F507" i="5"/>
  <c r="G507" i="5"/>
  <c r="H507" i="5"/>
  <c r="I507" i="5"/>
  <c r="J507" i="5"/>
  <c r="K507" i="5"/>
  <c r="C508" i="5"/>
  <c r="D508" i="5"/>
  <c r="E508" i="5"/>
  <c r="F508" i="5"/>
  <c r="G508" i="5"/>
  <c r="H508" i="5"/>
  <c r="I508" i="5"/>
  <c r="J508" i="5"/>
  <c r="K508" i="5"/>
  <c r="C509" i="5"/>
  <c r="D509" i="5"/>
  <c r="E509" i="5"/>
  <c r="F509" i="5"/>
  <c r="G509" i="5"/>
  <c r="H509" i="5"/>
  <c r="I509" i="5"/>
  <c r="J509" i="5"/>
  <c r="K509" i="5"/>
  <c r="C510" i="5"/>
  <c r="D510" i="5"/>
  <c r="E510" i="5"/>
  <c r="F510" i="5"/>
  <c r="G510" i="5"/>
  <c r="H510" i="5"/>
  <c r="I510" i="5"/>
  <c r="J510" i="5"/>
  <c r="K510" i="5"/>
  <c r="C511" i="5"/>
  <c r="D511" i="5"/>
  <c r="E511" i="5"/>
  <c r="F511" i="5"/>
  <c r="G511" i="5"/>
  <c r="H511" i="5"/>
  <c r="I511" i="5"/>
  <c r="J511" i="5"/>
  <c r="K511" i="5"/>
  <c r="C512" i="5"/>
  <c r="D512" i="5"/>
  <c r="E512" i="5"/>
  <c r="F512" i="5"/>
  <c r="G512" i="5"/>
  <c r="H512" i="5"/>
  <c r="I512" i="5"/>
  <c r="J512" i="5"/>
  <c r="K512" i="5"/>
  <c r="C513" i="5"/>
  <c r="D513" i="5"/>
  <c r="E513" i="5"/>
  <c r="F513" i="5"/>
  <c r="G513" i="5"/>
  <c r="H513" i="5"/>
  <c r="I513" i="5"/>
  <c r="J513" i="5"/>
  <c r="K513" i="5"/>
  <c r="E73" i="6"/>
  <c r="D73" i="6"/>
  <c r="C73" i="6"/>
  <c r="C494" i="5"/>
  <c r="D494" i="5"/>
  <c r="E494" i="5"/>
  <c r="F494" i="5"/>
  <c r="G494" i="5"/>
  <c r="H494" i="5"/>
  <c r="I494" i="5"/>
  <c r="J494" i="5"/>
  <c r="K494" i="5"/>
  <c r="C495" i="5"/>
  <c r="D495" i="5"/>
  <c r="E495" i="5"/>
  <c r="F495" i="5"/>
  <c r="G495" i="5"/>
  <c r="H495" i="5"/>
  <c r="I495" i="5"/>
  <c r="J495" i="5"/>
  <c r="K495" i="5"/>
  <c r="C496" i="5"/>
  <c r="D496" i="5"/>
  <c r="E496" i="5"/>
  <c r="F496" i="5"/>
  <c r="G496" i="5"/>
  <c r="H496" i="5"/>
  <c r="I496" i="5"/>
  <c r="J496" i="5"/>
  <c r="K496" i="5"/>
  <c r="C497" i="5"/>
  <c r="D497" i="5"/>
  <c r="E497" i="5"/>
  <c r="F497" i="5"/>
  <c r="G497" i="5"/>
  <c r="H497" i="5"/>
  <c r="I497" i="5"/>
  <c r="J497" i="5"/>
  <c r="K497" i="5"/>
  <c r="C498" i="5"/>
  <c r="D498" i="5"/>
  <c r="E498" i="5"/>
  <c r="F498" i="5"/>
  <c r="G498" i="5"/>
  <c r="H498" i="5"/>
  <c r="I498" i="5"/>
  <c r="J498" i="5"/>
  <c r="K498" i="5"/>
  <c r="C499" i="5"/>
  <c r="D499" i="5"/>
  <c r="E499" i="5"/>
  <c r="F499" i="5"/>
  <c r="G499" i="5"/>
  <c r="H499" i="5"/>
  <c r="I499" i="5"/>
  <c r="J499" i="5"/>
  <c r="K499" i="5"/>
  <c r="C500" i="5"/>
  <c r="D500" i="5"/>
  <c r="E500" i="5"/>
  <c r="F500" i="5"/>
  <c r="G500" i="5"/>
  <c r="H500" i="5"/>
  <c r="I500" i="5"/>
  <c r="J500" i="5"/>
  <c r="K500" i="5"/>
  <c r="C501" i="5"/>
  <c r="D501" i="5"/>
  <c r="E501" i="5"/>
  <c r="F501" i="5"/>
  <c r="G501" i="5"/>
  <c r="H501" i="5"/>
  <c r="I501" i="5"/>
  <c r="J501" i="5"/>
  <c r="K501" i="5"/>
  <c r="C502" i="5"/>
  <c r="D502" i="5"/>
  <c r="E502" i="5"/>
  <c r="F502" i="5"/>
  <c r="G502" i="5"/>
  <c r="H502" i="5"/>
  <c r="I502" i="5"/>
  <c r="J502" i="5"/>
  <c r="K502" i="5"/>
  <c r="C503" i="5"/>
  <c r="D503" i="5"/>
  <c r="E503" i="5"/>
  <c r="F503" i="5"/>
  <c r="G503" i="5"/>
  <c r="H503" i="5"/>
  <c r="I503" i="5"/>
  <c r="J503" i="5"/>
  <c r="K503" i="5"/>
  <c r="E72" i="6"/>
  <c r="D72" i="6"/>
  <c r="C72" i="6"/>
  <c r="C484" i="5"/>
  <c r="D484" i="5"/>
  <c r="E484" i="5"/>
  <c r="F484" i="5"/>
  <c r="G484" i="5"/>
  <c r="H484" i="5"/>
  <c r="I484" i="5"/>
  <c r="J484" i="5"/>
  <c r="K484" i="5"/>
  <c r="C485" i="5"/>
  <c r="D485" i="5"/>
  <c r="E485" i="5"/>
  <c r="F485" i="5"/>
  <c r="G485" i="5"/>
  <c r="H485" i="5"/>
  <c r="I485" i="5"/>
  <c r="J485" i="5"/>
  <c r="K485" i="5"/>
  <c r="C486" i="5"/>
  <c r="D486" i="5"/>
  <c r="E486" i="5"/>
  <c r="F486" i="5"/>
  <c r="G486" i="5"/>
  <c r="H486" i="5"/>
  <c r="I486" i="5"/>
  <c r="J486" i="5"/>
  <c r="K486" i="5"/>
  <c r="C487" i="5"/>
  <c r="D487" i="5"/>
  <c r="E487" i="5"/>
  <c r="F487" i="5"/>
  <c r="G487" i="5"/>
  <c r="H487" i="5"/>
  <c r="I487" i="5"/>
  <c r="J487" i="5"/>
  <c r="K487" i="5"/>
  <c r="C488" i="5"/>
  <c r="D488" i="5"/>
  <c r="E488" i="5"/>
  <c r="F488" i="5"/>
  <c r="G488" i="5"/>
  <c r="H488" i="5"/>
  <c r="I488" i="5"/>
  <c r="J488" i="5"/>
  <c r="K488" i="5"/>
  <c r="C489" i="5"/>
  <c r="D489" i="5"/>
  <c r="E489" i="5"/>
  <c r="F489" i="5"/>
  <c r="G489" i="5"/>
  <c r="H489" i="5"/>
  <c r="I489" i="5"/>
  <c r="J489" i="5"/>
  <c r="K489" i="5"/>
  <c r="C490" i="5"/>
  <c r="D490" i="5"/>
  <c r="E490" i="5"/>
  <c r="F490" i="5"/>
  <c r="G490" i="5"/>
  <c r="H490" i="5"/>
  <c r="I490" i="5"/>
  <c r="J490" i="5"/>
  <c r="K490" i="5"/>
  <c r="C491" i="5"/>
  <c r="D491" i="5"/>
  <c r="E491" i="5"/>
  <c r="F491" i="5"/>
  <c r="G491" i="5"/>
  <c r="H491" i="5"/>
  <c r="I491" i="5"/>
  <c r="J491" i="5"/>
  <c r="K491" i="5"/>
  <c r="C492" i="5"/>
  <c r="D492" i="5"/>
  <c r="E492" i="5"/>
  <c r="F492" i="5"/>
  <c r="G492" i="5"/>
  <c r="H492" i="5"/>
  <c r="I492" i="5"/>
  <c r="J492" i="5"/>
  <c r="K492" i="5"/>
  <c r="C493" i="5"/>
  <c r="D493" i="5"/>
  <c r="E493" i="5"/>
  <c r="F493" i="5"/>
  <c r="G493" i="5"/>
  <c r="H493" i="5"/>
  <c r="I493" i="5"/>
  <c r="J493" i="5"/>
  <c r="K493" i="5"/>
  <c r="E71" i="6"/>
  <c r="D71" i="6"/>
  <c r="C71" i="6"/>
  <c r="C474" i="5"/>
  <c r="D474" i="5"/>
  <c r="E474" i="5"/>
  <c r="F474" i="5"/>
  <c r="G474" i="5"/>
  <c r="H474" i="5"/>
  <c r="I474" i="5"/>
  <c r="J474" i="5"/>
  <c r="K474" i="5"/>
  <c r="C475" i="5"/>
  <c r="D475" i="5"/>
  <c r="E475" i="5"/>
  <c r="F475" i="5"/>
  <c r="G475" i="5"/>
  <c r="H475" i="5"/>
  <c r="I475" i="5"/>
  <c r="J475" i="5"/>
  <c r="K475" i="5"/>
  <c r="C476" i="5"/>
  <c r="D476" i="5"/>
  <c r="E476" i="5"/>
  <c r="F476" i="5"/>
  <c r="G476" i="5"/>
  <c r="H476" i="5"/>
  <c r="I476" i="5"/>
  <c r="J476" i="5"/>
  <c r="K476" i="5"/>
  <c r="C477" i="5"/>
  <c r="D477" i="5"/>
  <c r="E477" i="5"/>
  <c r="F477" i="5"/>
  <c r="G477" i="5"/>
  <c r="H477" i="5"/>
  <c r="I477" i="5"/>
  <c r="J477" i="5"/>
  <c r="K477" i="5"/>
  <c r="C478" i="5"/>
  <c r="D478" i="5"/>
  <c r="E478" i="5"/>
  <c r="F478" i="5"/>
  <c r="G478" i="5"/>
  <c r="H478" i="5"/>
  <c r="I478" i="5"/>
  <c r="J478" i="5"/>
  <c r="K478" i="5"/>
  <c r="C479" i="5"/>
  <c r="D479" i="5"/>
  <c r="E479" i="5"/>
  <c r="F479" i="5"/>
  <c r="G479" i="5"/>
  <c r="H479" i="5"/>
  <c r="I479" i="5"/>
  <c r="J479" i="5"/>
  <c r="K479" i="5"/>
  <c r="C480" i="5"/>
  <c r="D480" i="5"/>
  <c r="E480" i="5"/>
  <c r="F480" i="5"/>
  <c r="G480" i="5"/>
  <c r="H480" i="5"/>
  <c r="I480" i="5"/>
  <c r="J480" i="5"/>
  <c r="K480" i="5"/>
  <c r="C481" i="5"/>
  <c r="D481" i="5"/>
  <c r="E481" i="5"/>
  <c r="F481" i="5"/>
  <c r="G481" i="5"/>
  <c r="H481" i="5"/>
  <c r="I481" i="5"/>
  <c r="J481" i="5"/>
  <c r="K481" i="5"/>
  <c r="C482" i="5"/>
  <c r="D482" i="5"/>
  <c r="E482" i="5"/>
  <c r="F482" i="5"/>
  <c r="G482" i="5"/>
  <c r="H482" i="5"/>
  <c r="I482" i="5"/>
  <c r="J482" i="5"/>
  <c r="K482" i="5"/>
  <c r="C483" i="5"/>
  <c r="D483" i="5"/>
  <c r="E483" i="5"/>
  <c r="F483" i="5"/>
  <c r="G483" i="5"/>
  <c r="H483" i="5"/>
  <c r="I483" i="5"/>
  <c r="J483" i="5"/>
  <c r="K483" i="5"/>
  <c r="E70" i="6"/>
  <c r="D70" i="6"/>
  <c r="C70" i="6"/>
  <c r="C464" i="5"/>
  <c r="D464" i="5"/>
  <c r="E464" i="5"/>
  <c r="F464" i="5"/>
  <c r="G464" i="5"/>
  <c r="H464" i="5"/>
  <c r="I464" i="5"/>
  <c r="J464" i="5"/>
  <c r="K464" i="5"/>
  <c r="C465" i="5"/>
  <c r="D465" i="5"/>
  <c r="E465" i="5"/>
  <c r="F465" i="5"/>
  <c r="G465" i="5"/>
  <c r="H465" i="5"/>
  <c r="I465" i="5"/>
  <c r="J465" i="5"/>
  <c r="K465" i="5"/>
  <c r="C466" i="5"/>
  <c r="D466" i="5"/>
  <c r="E466" i="5"/>
  <c r="F466" i="5"/>
  <c r="G466" i="5"/>
  <c r="H466" i="5"/>
  <c r="I466" i="5"/>
  <c r="J466" i="5"/>
  <c r="K466" i="5"/>
  <c r="C467" i="5"/>
  <c r="D467" i="5"/>
  <c r="E467" i="5"/>
  <c r="F467" i="5"/>
  <c r="G467" i="5"/>
  <c r="H467" i="5"/>
  <c r="I467" i="5"/>
  <c r="J467" i="5"/>
  <c r="K467" i="5"/>
  <c r="C468" i="5"/>
  <c r="D468" i="5"/>
  <c r="E468" i="5"/>
  <c r="F468" i="5"/>
  <c r="G468" i="5"/>
  <c r="H468" i="5"/>
  <c r="I468" i="5"/>
  <c r="J468" i="5"/>
  <c r="K468" i="5"/>
  <c r="C469" i="5"/>
  <c r="D469" i="5"/>
  <c r="E469" i="5"/>
  <c r="F469" i="5"/>
  <c r="G469" i="5"/>
  <c r="H469" i="5"/>
  <c r="I469" i="5"/>
  <c r="J469" i="5"/>
  <c r="K469" i="5"/>
  <c r="C470" i="5"/>
  <c r="D470" i="5"/>
  <c r="E470" i="5"/>
  <c r="F470" i="5"/>
  <c r="G470" i="5"/>
  <c r="H470" i="5"/>
  <c r="I470" i="5"/>
  <c r="J470" i="5"/>
  <c r="K470" i="5"/>
  <c r="C471" i="5"/>
  <c r="D471" i="5"/>
  <c r="E471" i="5"/>
  <c r="F471" i="5"/>
  <c r="G471" i="5"/>
  <c r="H471" i="5"/>
  <c r="I471" i="5"/>
  <c r="J471" i="5"/>
  <c r="K471" i="5"/>
  <c r="C472" i="5"/>
  <c r="D472" i="5"/>
  <c r="E472" i="5"/>
  <c r="F472" i="5"/>
  <c r="G472" i="5"/>
  <c r="H472" i="5"/>
  <c r="I472" i="5"/>
  <c r="J472" i="5"/>
  <c r="K472" i="5"/>
  <c r="C473" i="5"/>
  <c r="D473" i="5"/>
  <c r="E473" i="5"/>
  <c r="F473" i="5"/>
  <c r="G473" i="5"/>
  <c r="H473" i="5"/>
  <c r="I473" i="5"/>
  <c r="J473" i="5"/>
  <c r="K473" i="5"/>
  <c r="E69" i="6"/>
  <c r="D69" i="6"/>
  <c r="C69" i="6"/>
  <c r="C454" i="5"/>
  <c r="D454" i="5"/>
  <c r="E454" i="5"/>
  <c r="F454" i="5"/>
  <c r="G454" i="5"/>
  <c r="H454" i="5"/>
  <c r="I454" i="5"/>
  <c r="J454" i="5"/>
  <c r="K454" i="5"/>
  <c r="C455" i="5"/>
  <c r="D455" i="5"/>
  <c r="E455" i="5"/>
  <c r="F455" i="5"/>
  <c r="G455" i="5"/>
  <c r="H455" i="5"/>
  <c r="I455" i="5"/>
  <c r="J455" i="5"/>
  <c r="K455" i="5"/>
  <c r="C456" i="5"/>
  <c r="D456" i="5"/>
  <c r="E456" i="5"/>
  <c r="F456" i="5"/>
  <c r="G456" i="5"/>
  <c r="H456" i="5"/>
  <c r="I456" i="5"/>
  <c r="J456" i="5"/>
  <c r="K456" i="5"/>
  <c r="C457" i="5"/>
  <c r="D457" i="5"/>
  <c r="E457" i="5"/>
  <c r="F457" i="5"/>
  <c r="G457" i="5"/>
  <c r="H457" i="5"/>
  <c r="I457" i="5"/>
  <c r="J457" i="5"/>
  <c r="K457" i="5"/>
  <c r="C458" i="5"/>
  <c r="D458" i="5"/>
  <c r="E458" i="5"/>
  <c r="F458" i="5"/>
  <c r="G458" i="5"/>
  <c r="H458" i="5"/>
  <c r="I458" i="5"/>
  <c r="J458" i="5"/>
  <c r="K458" i="5"/>
  <c r="C459" i="5"/>
  <c r="D459" i="5"/>
  <c r="E459" i="5"/>
  <c r="F459" i="5"/>
  <c r="G459" i="5"/>
  <c r="H459" i="5"/>
  <c r="I459" i="5"/>
  <c r="J459" i="5"/>
  <c r="K459" i="5"/>
  <c r="C460" i="5"/>
  <c r="D460" i="5"/>
  <c r="E460" i="5"/>
  <c r="F460" i="5"/>
  <c r="G460" i="5"/>
  <c r="H460" i="5"/>
  <c r="I460" i="5"/>
  <c r="J460" i="5"/>
  <c r="K460" i="5"/>
  <c r="C461" i="5"/>
  <c r="D461" i="5"/>
  <c r="E461" i="5"/>
  <c r="F461" i="5"/>
  <c r="G461" i="5"/>
  <c r="H461" i="5"/>
  <c r="I461" i="5"/>
  <c r="J461" i="5"/>
  <c r="K461" i="5"/>
  <c r="C462" i="5"/>
  <c r="D462" i="5"/>
  <c r="E462" i="5"/>
  <c r="F462" i="5"/>
  <c r="G462" i="5"/>
  <c r="H462" i="5"/>
  <c r="I462" i="5"/>
  <c r="J462" i="5"/>
  <c r="K462" i="5"/>
  <c r="C463" i="5"/>
  <c r="D463" i="5"/>
  <c r="E463" i="5"/>
  <c r="F463" i="5"/>
  <c r="G463" i="5"/>
  <c r="H463" i="5"/>
  <c r="I463" i="5"/>
  <c r="J463" i="5"/>
  <c r="K463" i="5"/>
  <c r="E68" i="6"/>
  <c r="D68" i="6"/>
  <c r="C68" i="6"/>
  <c r="C444" i="5"/>
  <c r="D444" i="5"/>
  <c r="E444" i="5"/>
  <c r="F444" i="5"/>
  <c r="G444" i="5"/>
  <c r="H444" i="5"/>
  <c r="I444" i="5"/>
  <c r="J444" i="5"/>
  <c r="K444" i="5"/>
  <c r="C445" i="5"/>
  <c r="D445" i="5"/>
  <c r="E445" i="5"/>
  <c r="F445" i="5"/>
  <c r="G445" i="5"/>
  <c r="H445" i="5"/>
  <c r="I445" i="5"/>
  <c r="J445" i="5"/>
  <c r="K445" i="5"/>
  <c r="C446" i="5"/>
  <c r="D446" i="5"/>
  <c r="E446" i="5"/>
  <c r="F446" i="5"/>
  <c r="G446" i="5"/>
  <c r="H446" i="5"/>
  <c r="I446" i="5"/>
  <c r="J446" i="5"/>
  <c r="K446" i="5"/>
  <c r="C447" i="5"/>
  <c r="D447" i="5"/>
  <c r="E447" i="5"/>
  <c r="F447" i="5"/>
  <c r="G447" i="5"/>
  <c r="H447" i="5"/>
  <c r="I447" i="5"/>
  <c r="J447" i="5"/>
  <c r="K447" i="5"/>
  <c r="C448" i="5"/>
  <c r="D448" i="5"/>
  <c r="E448" i="5"/>
  <c r="F448" i="5"/>
  <c r="G448" i="5"/>
  <c r="H448" i="5"/>
  <c r="I448" i="5"/>
  <c r="J448" i="5"/>
  <c r="K448" i="5"/>
  <c r="C449" i="5"/>
  <c r="D449" i="5"/>
  <c r="E449" i="5"/>
  <c r="F449" i="5"/>
  <c r="G449" i="5"/>
  <c r="H449" i="5"/>
  <c r="I449" i="5"/>
  <c r="J449" i="5"/>
  <c r="K449" i="5"/>
  <c r="C450" i="5"/>
  <c r="D450" i="5"/>
  <c r="E450" i="5"/>
  <c r="F450" i="5"/>
  <c r="G450" i="5"/>
  <c r="H450" i="5"/>
  <c r="I450" i="5"/>
  <c r="J450" i="5"/>
  <c r="K450" i="5"/>
  <c r="C451" i="5"/>
  <c r="D451" i="5"/>
  <c r="E451" i="5"/>
  <c r="F451" i="5"/>
  <c r="G451" i="5"/>
  <c r="H451" i="5"/>
  <c r="I451" i="5"/>
  <c r="J451" i="5"/>
  <c r="K451" i="5"/>
  <c r="C452" i="5"/>
  <c r="D452" i="5"/>
  <c r="E452" i="5"/>
  <c r="F452" i="5"/>
  <c r="G452" i="5"/>
  <c r="H452" i="5"/>
  <c r="I452" i="5"/>
  <c r="J452" i="5"/>
  <c r="K452" i="5"/>
  <c r="C453" i="5"/>
  <c r="D453" i="5"/>
  <c r="E453" i="5"/>
  <c r="F453" i="5"/>
  <c r="G453" i="5"/>
  <c r="H453" i="5"/>
  <c r="I453" i="5"/>
  <c r="J453" i="5"/>
  <c r="K453" i="5"/>
  <c r="E67" i="6"/>
  <c r="D67" i="6"/>
  <c r="C67" i="6"/>
  <c r="C434" i="5"/>
  <c r="D434" i="5"/>
  <c r="E434" i="5"/>
  <c r="F434" i="5"/>
  <c r="G434" i="5"/>
  <c r="H434" i="5"/>
  <c r="I434" i="5"/>
  <c r="J434" i="5"/>
  <c r="K434" i="5"/>
  <c r="C435" i="5"/>
  <c r="D435" i="5"/>
  <c r="E435" i="5"/>
  <c r="F435" i="5"/>
  <c r="G435" i="5"/>
  <c r="H435" i="5"/>
  <c r="I435" i="5"/>
  <c r="J435" i="5"/>
  <c r="K435" i="5"/>
  <c r="C436" i="5"/>
  <c r="D436" i="5"/>
  <c r="E436" i="5"/>
  <c r="F436" i="5"/>
  <c r="G436" i="5"/>
  <c r="H436" i="5"/>
  <c r="I436" i="5"/>
  <c r="J436" i="5"/>
  <c r="K436" i="5"/>
  <c r="C437" i="5"/>
  <c r="D437" i="5"/>
  <c r="E437" i="5"/>
  <c r="F437" i="5"/>
  <c r="G437" i="5"/>
  <c r="H437" i="5"/>
  <c r="I437" i="5"/>
  <c r="J437" i="5"/>
  <c r="K437" i="5"/>
  <c r="C438" i="5"/>
  <c r="D438" i="5"/>
  <c r="E438" i="5"/>
  <c r="F438" i="5"/>
  <c r="G438" i="5"/>
  <c r="H438" i="5"/>
  <c r="I438" i="5"/>
  <c r="J438" i="5"/>
  <c r="K438" i="5"/>
  <c r="C439" i="5"/>
  <c r="D439" i="5"/>
  <c r="E439" i="5"/>
  <c r="F439" i="5"/>
  <c r="G439" i="5"/>
  <c r="H439" i="5"/>
  <c r="I439" i="5"/>
  <c r="J439" i="5"/>
  <c r="K439" i="5"/>
  <c r="C440" i="5"/>
  <c r="D440" i="5"/>
  <c r="E440" i="5"/>
  <c r="F440" i="5"/>
  <c r="G440" i="5"/>
  <c r="H440" i="5"/>
  <c r="I440" i="5"/>
  <c r="J440" i="5"/>
  <c r="K440" i="5"/>
  <c r="C441" i="5"/>
  <c r="D441" i="5"/>
  <c r="E441" i="5"/>
  <c r="F441" i="5"/>
  <c r="G441" i="5"/>
  <c r="H441" i="5"/>
  <c r="I441" i="5"/>
  <c r="J441" i="5"/>
  <c r="K441" i="5"/>
  <c r="C442" i="5"/>
  <c r="D442" i="5"/>
  <c r="E442" i="5"/>
  <c r="F442" i="5"/>
  <c r="G442" i="5"/>
  <c r="H442" i="5"/>
  <c r="I442" i="5"/>
  <c r="J442" i="5"/>
  <c r="K442" i="5"/>
  <c r="C443" i="5"/>
  <c r="D443" i="5"/>
  <c r="E443" i="5"/>
  <c r="F443" i="5"/>
  <c r="G443" i="5"/>
  <c r="H443" i="5"/>
  <c r="I443" i="5"/>
  <c r="J443" i="5"/>
  <c r="K443" i="5"/>
  <c r="E66" i="6"/>
  <c r="D66" i="6"/>
  <c r="C66" i="6"/>
  <c r="C424" i="5"/>
  <c r="D424" i="5"/>
  <c r="E424" i="5"/>
  <c r="F424" i="5"/>
  <c r="G424" i="5"/>
  <c r="H424" i="5"/>
  <c r="I424" i="5"/>
  <c r="J424" i="5"/>
  <c r="K424" i="5"/>
  <c r="C425" i="5"/>
  <c r="D425" i="5"/>
  <c r="E425" i="5"/>
  <c r="F425" i="5"/>
  <c r="G425" i="5"/>
  <c r="H425" i="5"/>
  <c r="I425" i="5"/>
  <c r="J425" i="5"/>
  <c r="K425" i="5"/>
  <c r="C426" i="5"/>
  <c r="D426" i="5"/>
  <c r="E426" i="5"/>
  <c r="F426" i="5"/>
  <c r="G426" i="5"/>
  <c r="H426" i="5"/>
  <c r="I426" i="5"/>
  <c r="J426" i="5"/>
  <c r="K426" i="5"/>
  <c r="C427" i="5"/>
  <c r="D427" i="5"/>
  <c r="E427" i="5"/>
  <c r="F427" i="5"/>
  <c r="G427" i="5"/>
  <c r="H427" i="5"/>
  <c r="I427" i="5"/>
  <c r="J427" i="5"/>
  <c r="K427" i="5"/>
  <c r="C428" i="5"/>
  <c r="D428" i="5"/>
  <c r="E428" i="5"/>
  <c r="F428" i="5"/>
  <c r="G428" i="5"/>
  <c r="H428" i="5"/>
  <c r="I428" i="5"/>
  <c r="J428" i="5"/>
  <c r="K428" i="5"/>
  <c r="C429" i="5"/>
  <c r="D429" i="5"/>
  <c r="E429" i="5"/>
  <c r="F429" i="5"/>
  <c r="G429" i="5"/>
  <c r="H429" i="5"/>
  <c r="I429" i="5"/>
  <c r="J429" i="5"/>
  <c r="K429" i="5"/>
  <c r="C430" i="5"/>
  <c r="D430" i="5"/>
  <c r="E430" i="5"/>
  <c r="F430" i="5"/>
  <c r="G430" i="5"/>
  <c r="H430" i="5"/>
  <c r="I430" i="5"/>
  <c r="J430" i="5"/>
  <c r="K430" i="5"/>
  <c r="C431" i="5"/>
  <c r="D431" i="5"/>
  <c r="E431" i="5"/>
  <c r="F431" i="5"/>
  <c r="G431" i="5"/>
  <c r="H431" i="5"/>
  <c r="I431" i="5"/>
  <c r="J431" i="5"/>
  <c r="K431" i="5"/>
  <c r="C432" i="5"/>
  <c r="D432" i="5"/>
  <c r="E432" i="5"/>
  <c r="F432" i="5"/>
  <c r="G432" i="5"/>
  <c r="H432" i="5"/>
  <c r="I432" i="5"/>
  <c r="J432" i="5"/>
  <c r="K432" i="5"/>
  <c r="C433" i="5"/>
  <c r="D433" i="5"/>
  <c r="E433" i="5"/>
  <c r="F433" i="5"/>
  <c r="G433" i="5"/>
  <c r="H433" i="5"/>
  <c r="I433" i="5"/>
  <c r="J433" i="5"/>
  <c r="K433" i="5"/>
  <c r="E65" i="6"/>
  <c r="D65" i="6"/>
  <c r="C65" i="6"/>
  <c r="C414" i="5"/>
  <c r="D414" i="5"/>
  <c r="E414" i="5"/>
  <c r="F414" i="5"/>
  <c r="G414" i="5"/>
  <c r="H414" i="5"/>
  <c r="I414" i="5"/>
  <c r="J414" i="5"/>
  <c r="K414" i="5"/>
  <c r="C415" i="5"/>
  <c r="D415" i="5"/>
  <c r="E415" i="5"/>
  <c r="F415" i="5"/>
  <c r="G415" i="5"/>
  <c r="H415" i="5"/>
  <c r="I415" i="5"/>
  <c r="J415" i="5"/>
  <c r="K415" i="5"/>
  <c r="C416" i="5"/>
  <c r="D416" i="5"/>
  <c r="E416" i="5"/>
  <c r="F416" i="5"/>
  <c r="G416" i="5"/>
  <c r="H416" i="5"/>
  <c r="I416" i="5"/>
  <c r="J416" i="5"/>
  <c r="K416" i="5"/>
  <c r="C417" i="5"/>
  <c r="D417" i="5"/>
  <c r="E417" i="5"/>
  <c r="F417" i="5"/>
  <c r="G417" i="5"/>
  <c r="H417" i="5"/>
  <c r="I417" i="5"/>
  <c r="J417" i="5"/>
  <c r="K417" i="5"/>
  <c r="C418" i="5"/>
  <c r="D418" i="5"/>
  <c r="E418" i="5"/>
  <c r="F418" i="5"/>
  <c r="G418" i="5"/>
  <c r="H418" i="5"/>
  <c r="I418" i="5"/>
  <c r="J418" i="5"/>
  <c r="K418" i="5"/>
  <c r="C419" i="5"/>
  <c r="D419" i="5"/>
  <c r="E419" i="5"/>
  <c r="F419" i="5"/>
  <c r="G419" i="5"/>
  <c r="H419" i="5"/>
  <c r="I419" i="5"/>
  <c r="J419" i="5"/>
  <c r="K419" i="5"/>
  <c r="C420" i="5"/>
  <c r="D420" i="5"/>
  <c r="E420" i="5"/>
  <c r="F420" i="5"/>
  <c r="G420" i="5"/>
  <c r="H420" i="5"/>
  <c r="I420" i="5"/>
  <c r="J420" i="5"/>
  <c r="K420" i="5"/>
  <c r="C421" i="5"/>
  <c r="D421" i="5"/>
  <c r="E421" i="5"/>
  <c r="F421" i="5"/>
  <c r="G421" i="5"/>
  <c r="H421" i="5"/>
  <c r="I421" i="5"/>
  <c r="J421" i="5"/>
  <c r="K421" i="5"/>
  <c r="C422" i="5"/>
  <c r="D422" i="5"/>
  <c r="E422" i="5"/>
  <c r="F422" i="5"/>
  <c r="G422" i="5"/>
  <c r="H422" i="5"/>
  <c r="I422" i="5"/>
  <c r="J422" i="5"/>
  <c r="K422" i="5"/>
  <c r="C423" i="5"/>
  <c r="D423" i="5"/>
  <c r="E423" i="5"/>
  <c r="F423" i="5"/>
  <c r="G423" i="5"/>
  <c r="H423" i="5"/>
  <c r="I423" i="5"/>
  <c r="J423" i="5"/>
  <c r="K423" i="5"/>
  <c r="E64" i="6"/>
  <c r="D64" i="6"/>
  <c r="C64" i="6"/>
  <c r="C404" i="5"/>
  <c r="D404" i="5"/>
  <c r="E404" i="5"/>
  <c r="F404" i="5"/>
  <c r="G404" i="5"/>
  <c r="H404" i="5"/>
  <c r="I404" i="5"/>
  <c r="J404" i="5"/>
  <c r="K404" i="5"/>
  <c r="C405" i="5"/>
  <c r="D405" i="5"/>
  <c r="E405" i="5"/>
  <c r="F405" i="5"/>
  <c r="G405" i="5"/>
  <c r="H405" i="5"/>
  <c r="I405" i="5"/>
  <c r="J405" i="5"/>
  <c r="K405" i="5"/>
  <c r="C406" i="5"/>
  <c r="D406" i="5"/>
  <c r="E406" i="5"/>
  <c r="F406" i="5"/>
  <c r="G406" i="5"/>
  <c r="H406" i="5"/>
  <c r="I406" i="5"/>
  <c r="J406" i="5"/>
  <c r="K406" i="5"/>
  <c r="C407" i="5"/>
  <c r="D407" i="5"/>
  <c r="E407" i="5"/>
  <c r="F407" i="5"/>
  <c r="G407" i="5"/>
  <c r="H407" i="5"/>
  <c r="I407" i="5"/>
  <c r="J407" i="5"/>
  <c r="K407" i="5"/>
  <c r="C408" i="5"/>
  <c r="D408" i="5"/>
  <c r="E408" i="5"/>
  <c r="F408" i="5"/>
  <c r="G408" i="5"/>
  <c r="H408" i="5"/>
  <c r="I408" i="5"/>
  <c r="J408" i="5"/>
  <c r="K408" i="5"/>
  <c r="C409" i="5"/>
  <c r="D409" i="5"/>
  <c r="E409" i="5"/>
  <c r="F409" i="5"/>
  <c r="G409" i="5"/>
  <c r="H409" i="5"/>
  <c r="I409" i="5"/>
  <c r="J409" i="5"/>
  <c r="K409" i="5"/>
  <c r="C410" i="5"/>
  <c r="D410" i="5"/>
  <c r="E410" i="5"/>
  <c r="F410" i="5"/>
  <c r="G410" i="5"/>
  <c r="H410" i="5"/>
  <c r="I410" i="5"/>
  <c r="J410" i="5"/>
  <c r="K410" i="5"/>
  <c r="C411" i="5"/>
  <c r="D411" i="5"/>
  <c r="E411" i="5"/>
  <c r="F411" i="5"/>
  <c r="G411" i="5"/>
  <c r="H411" i="5"/>
  <c r="I411" i="5"/>
  <c r="J411" i="5"/>
  <c r="K411" i="5"/>
  <c r="C412" i="5"/>
  <c r="D412" i="5"/>
  <c r="E412" i="5"/>
  <c r="F412" i="5"/>
  <c r="G412" i="5"/>
  <c r="H412" i="5"/>
  <c r="I412" i="5"/>
  <c r="J412" i="5"/>
  <c r="K412" i="5"/>
  <c r="C413" i="5"/>
  <c r="D413" i="5"/>
  <c r="E413" i="5"/>
  <c r="F413" i="5"/>
  <c r="G413" i="5"/>
  <c r="H413" i="5"/>
  <c r="I413" i="5"/>
  <c r="J413" i="5"/>
  <c r="K413" i="5"/>
  <c r="E63" i="6"/>
  <c r="D63" i="6"/>
  <c r="C63" i="6"/>
  <c r="C394" i="5"/>
  <c r="D394" i="5"/>
  <c r="E394" i="5"/>
  <c r="F394" i="5"/>
  <c r="G394" i="5"/>
  <c r="H394" i="5"/>
  <c r="I394" i="5"/>
  <c r="J394" i="5"/>
  <c r="K394" i="5"/>
  <c r="C395" i="5"/>
  <c r="D395" i="5"/>
  <c r="E395" i="5"/>
  <c r="F395" i="5"/>
  <c r="G395" i="5"/>
  <c r="H395" i="5"/>
  <c r="I395" i="5"/>
  <c r="J395" i="5"/>
  <c r="K395" i="5"/>
  <c r="C396" i="5"/>
  <c r="D396" i="5"/>
  <c r="E396" i="5"/>
  <c r="F396" i="5"/>
  <c r="G396" i="5"/>
  <c r="H396" i="5"/>
  <c r="I396" i="5"/>
  <c r="J396" i="5"/>
  <c r="K396" i="5"/>
  <c r="C397" i="5"/>
  <c r="D397" i="5"/>
  <c r="E397" i="5"/>
  <c r="F397" i="5"/>
  <c r="G397" i="5"/>
  <c r="H397" i="5"/>
  <c r="I397" i="5"/>
  <c r="J397" i="5"/>
  <c r="K397" i="5"/>
  <c r="C398" i="5"/>
  <c r="D398" i="5"/>
  <c r="E398" i="5"/>
  <c r="F398" i="5"/>
  <c r="G398" i="5"/>
  <c r="H398" i="5"/>
  <c r="I398" i="5"/>
  <c r="J398" i="5"/>
  <c r="K398" i="5"/>
  <c r="C399" i="5"/>
  <c r="D399" i="5"/>
  <c r="E399" i="5"/>
  <c r="F399" i="5"/>
  <c r="G399" i="5"/>
  <c r="H399" i="5"/>
  <c r="I399" i="5"/>
  <c r="J399" i="5"/>
  <c r="K399" i="5"/>
  <c r="C400" i="5"/>
  <c r="D400" i="5"/>
  <c r="E400" i="5"/>
  <c r="F400" i="5"/>
  <c r="G400" i="5"/>
  <c r="H400" i="5"/>
  <c r="I400" i="5"/>
  <c r="J400" i="5"/>
  <c r="K400" i="5"/>
  <c r="C401" i="5"/>
  <c r="D401" i="5"/>
  <c r="E401" i="5"/>
  <c r="F401" i="5"/>
  <c r="G401" i="5"/>
  <c r="H401" i="5"/>
  <c r="I401" i="5"/>
  <c r="J401" i="5"/>
  <c r="K401" i="5"/>
  <c r="C402" i="5"/>
  <c r="D402" i="5"/>
  <c r="E402" i="5"/>
  <c r="F402" i="5"/>
  <c r="G402" i="5"/>
  <c r="H402" i="5"/>
  <c r="I402" i="5"/>
  <c r="J402" i="5"/>
  <c r="K402" i="5"/>
  <c r="C403" i="5"/>
  <c r="D403" i="5"/>
  <c r="E403" i="5"/>
  <c r="F403" i="5"/>
  <c r="G403" i="5"/>
  <c r="H403" i="5"/>
  <c r="I403" i="5"/>
  <c r="J403" i="5"/>
  <c r="K403" i="5"/>
  <c r="E62" i="6"/>
  <c r="D62" i="6"/>
  <c r="C62" i="6"/>
  <c r="C384" i="5"/>
  <c r="D384" i="5"/>
  <c r="E384" i="5"/>
  <c r="F384" i="5"/>
  <c r="G384" i="5"/>
  <c r="H384" i="5"/>
  <c r="I384" i="5"/>
  <c r="J384" i="5"/>
  <c r="K384" i="5"/>
  <c r="C385" i="5"/>
  <c r="D385" i="5"/>
  <c r="E385" i="5"/>
  <c r="F385" i="5"/>
  <c r="G385" i="5"/>
  <c r="H385" i="5"/>
  <c r="I385" i="5"/>
  <c r="J385" i="5"/>
  <c r="K385" i="5"/>
  <c r="C386" i="5"/>
  <c r="D386" i="5"/>
  <c r="E386" i="5"/>
  <c r="F386" i="5"/>
  <c r="G386" i="5"/>
  <c r="H386" i="5"/>
  <c r="I386" i="5"/>
  <c r="J386" i="5"/>
  <c r="K386" i="5"/>
  <c r="C387" i="5"/>
  <c r="D387" i="5"/>
  <c r="E387" i="5"/>
  <c r="F387" i="5"/>
  <c r="G387" i="5"/>
  <c r="H387" i="5"/>
  <c r="I387" i="5"/>
  <c r="J387" i="5"/>
  <c r="K387" i="5"/>
  <c r="C388" i="5"/>
  <c r="D388" i="5"/>
  <c r="E388" i="5"/>
  <c r="F388" i="5"/>
  <c r="G388" i="5"/>
  <c r="H388" i="5"/>
  <c r="I388" i="5"/>
  <c r="J388" i="5"/>
  <c r="K388" i="5"/>
  <c r="C389" i="5"/>
  <c r="D389" i="5"/>
  <c r="E389" i="5"/>
  <c r="F389" i="5"/>
  <c r="G389" i="5"/>
  <c r="H389" i="5"/>
  <c r="I389" i="5"/>
  <c r="J389" i="5"/>
  <c r="K389" i="5"/>
  <c r="C390" i="5"/>
  <c r="D390" i="5"/>
  <c r="E390" i="5"/>
  <c r="F390" i="5"/>
  <c r="G390" i="5"/>
  <c r="H390" i="5"/>
  <c r="I390" i="5"/>
  <c r="J390" i="5"/>
  <c r="K390" i="5"/>
  <c r="C391" i="5"/>
  <c r="D391" i="5"/>
  <c r="E391" i="5"/>
  <c r="F391" i="5"/>
  <c r="G391" i="5"/>
  <c r="H391" i="5"/>
  <c r="I391" i="5"/>
  <c r="J391" i="5"/>
  <c r="K391" i="5"/>
  <c r="C392" i="5"/>
  <c r="D392" i="5"/>
  <c r="E392" i="5"/>
  <c r="F392" i="5"/>
  <c r="G392" i="5"/>
  <c r="H392" i="5"/>
  <c r="I392" i="5"/>
  <c r="J392" i="5"/>
  <c r="K392" i="5"/>
  <c r="C393" i="5"/>
  <c r="D393" i="5"/>
  <c r="E393" i="5"/>
  <c r="F393" i="5"/>
  <c r="G393" i="5"/>
  <c r="H393" i="5"/>
  <c r="I393" i="5"/>
  <c r="J393" i="5"/>
  <c r="K393" i="5"/>
  <c r="E61" i="6"/>
  <c r="D61" i="6"/>
  <c r="C61" i="6"/>
  <c r="C374" i="5"/>
  <c r="D374" i="5"/>
  <c r="E374" i="5"/>
  <c r="F374" i="5"/>
  <c r="G374" i="5"/>
  <c r="H374" i="5"/>
  <c r="I374" i="5"/>
  <c r="J374" i="5"/>
  <c r="K374" i="5"/>
  <c r="C375" i="5"/>
  <c r="D375" i="5"/>
  <c r="E375" i="5"/>
  <c r="F375" i="5"/>
  <c r="G375" i="5"/>
  <c r="H375" i="5"/>
  <c r="I375" i="5"/>
  <c r="J375" i="5"/>
  <c r="K375" i="5"/>
  <c r="C376" i="5"/>
  <c r="D376" i="5"/>
  <c r="E376" i="5"/>
  <c r="F376" i="5"/>
  <c r="G376" i="5"/>
  <c r="H376" i="5"/>
  <c r="I376" i="5"/>
  <c r="J376" i="5"/>
  <c r="K376" i="5"/>
  <c r="C377" i="5"/>
  <c r="D377" i="5"/>
  <c r="E377" i="5"/>
  <c r="F377" i="5"/>
  <c r="G377" i="5"/>
  <c r="H377" i="5"/>
  <c r="I377" i="5"/>
  <c r="J377" i="5"/>
  <c r="K377" i="5"/>
  <c r="C378" i="5"/>
  <c r="D378" i="5"/>
  <c r="E378" i="5"/>
  <c r="F378" i="5"/>
  <c r="G378" i="5"/>
  <c r="H378" i="5"/>
  <c r="I378" i="5"/>
  <c r="J378" i="5"/>
  <c r="K378" i="5"/>
  <c r="C379" i="5"/>
  <c r="D379" i="5"/>
  <c r="E379" i="5"/>
  <c r="F379" i="5"/>
  <c r="G379" i="5"/>
  <c r="H379" i="5"/>
  <c r="I379" i="5"/>
  <c r="J379" i="5"/>
  <c r="K379" i="5"/>
  <c r="C380" i="5"/>
  <c r="D380" i="5"/>
  <c r="E380" i="5"/>
  <c r="F380" i="5"/>
  <c r="G380" i="5"/>
  <c r="H380" i="5"/>
  <c r="I380" i="5"/>
  <c r="J380" i="5"/>
  <c r="K380" i="5"/>
  <c r="C381" i="5"/>
  <c r="D381" i="5"/>
  <c r="E381" i="5"/>
  <c r="F381" i="5"/>
  <c r="G381" i="5"/>
  <c r="H381" i="5"/>
  <c r="I381" i="5"/>
  <c r="J381" i="5"/>
  <c r="K381" i="5"/>
  <c r="C382" i="5"/>
  <c r="D382" i="5"/>
  <c r="E382" i="5"/>
  <c r="F382" i="5"/>
  <c r="G382" i="5"/>
  <c r="H382" i="5"/>
  <c r="I382" i="5"/>
  <c r="J382" i="5"/>
  <c r="K382" i="5"/>
  <c r="C383" i="5"/>
  <c r="D383" i="5"/>
  <c r="E383" i="5"/>
  <c r="F383" i="5"/>
  <c r="G383" i="5"/>
  <c r="H383" i="5"/>
  <c r="I383" i="5"/>
  <c r="J383" i="5"/>
  <c r="K383" i="5"/>
  <c r="E60" i="6"/>
  <c r="D60" i="6"/>
  <c r="C60" i="6"/>
  <c r="C364" i="5"/>
  <c r="D364" i="5"/>
  <c r="E364" i="5"/>
  <c r="F364" i="5"/>
  <c r="G364" i="5"/>
  <c r="H364" i="5"/>
  <c r="I364" i="5"/>
  <c r="J364" i="5"/>
  <c r="K364" i="5"/>
  <c r="C365" i="5"/>
  <c r="D365" i="5"/>
  <c r="E365" i="5"/>
  <c r="F365" i="5"/>
  <c r="G365" i="5"/>
  <c r="H365" i="5"/>
  <c r="I365" i="5"/>
  <c r="J365" i="5"/>
  <c r="K365" i="5"/>
  <c r="C366" i="5"/>
  <c r="D366" i="5"/>
  <c r="E366" i="5"/>
  <c r="F366" i="5"/>
  <c r="G366" i="5"/>
  <c r="H366" i="5"/>
  <c r="I366" i="5"/>
  <c r="J366" i="5"/>
  <c r="K366" i="5"/>
  <c r="C367" i="5"/>
  <c r="D367" i="5"/>
  <c r="E367" i="5"/>
  <c r="F367" i="5"/>
  <c r="G367" i="5"/>
  <c r="H367" i="5"/>
  <c r="I367" i="5"/>
  <c r="J367" i="5"/>
  <c r="K367" i="5"/>
  <c r="C368" i="5"/>
  <c r="D368" i="5"/>
  <c r="E368" i="5"/>
  <c r="F368" i="5"/>
  <c r="G368" i="5"/>
  <c r="H368" i="5"/>
  <c r="I368" i="5"/>
  <c r="J368" i="5"/>
  <c r="K368" i="5"/>
  <c r="C369" i="5"/>
  <c r="D369" i="5"/>
  <c r="E369" i="5"/>
  <c r="F369" i="5"/>
  <c r="G369" i="5"/>
  <c r="H369" i="5"/>
  <c r="I369" i="5"/>
  <c r="J369" i="5"/>
  <c r="K369" i="5"/>
  <c r="C370" i="5"/>
  <c r="D370" i="5"/>
  <c r="E370" i="5"/>
  <c r="F370" i="5"/>
  <c r="G370" i="5"/>
  <c r="H370" i="5"/>
  <c r="I370" i="5"/>
  <c r="J370" i="5"/>
  <c r="K370" i="5"/>
  <c r="C371" i="5"/>
  <c r="D371" i="5"/>
  <c r="E371" i="5"/>
  <c r="F371" i="5"/>
  <c r="G371" i="5"/>
  <c r="H371" i="5"/>
  <c r="I371" i="5"/>
  <c r="J371" i="5"/>
  <c r="K371" i="5"/>
  <c r="C372" i="5"/>
  <c r="D372" i="5"/>
  <c r="E372" i="5"/>
  <c r="F372" i="5"/>
  <c r="G372" i="5"/>
  <c r="H372" i="5"/>
  <c r="I372" i="5"/>
  <c r="J372" i="5"/>
  <c r="K372" i="5"/>
  <c r="C373" i="5"/>
  <c r="D373" i="5"/>
  <c r="E373" i="5"/>
  <c r="F373" i="5"/>
  <c r="G373" i="5"/>
  <c r="H373" i="5"/>
  <c r="I373" i="5"/>
  <c r="J373" i="5"/>
  <c r="K373" i="5"/>
  <c r="E59" i="6"/>
  <c r="D59" i="6"/>
  <c r="C59" i="6"/>
  <c r="C354" i="5"/>
  <c r="D354" i="5"/>
  <c r="E354" i="5"/>
  <c r="F354" i="5"/>
  <c r="G354" i="5"/>
  <c r="H354" i="5"/>
  <c r="I354" i="5"/>
  <c r="J354" i="5"/>
  <c r="K354" i="5"/>
  <c r="C355" i="5"/>
  <c r="D355" i="5"/>
  <c r="E355" i="5"/>
  <c r="F355" i="5"/>
  <c r="G355" i="5"/>
  <c r="H355" i="5"/>
  <c r="I355" i="5"/>
  <c r="J355" i="5"/>
  <c r="K355" i="5"/>
  <c r="C356" i="5"/>
  <c r="D356" i="5"/>
  <c r="E356" i="5"/>
  <c r="F356" i="5"/>
  <c r="G356" i="5"/>
  <c r="H356" i="5"/>
  <c r="I356" i="5"/>
  <c r="J356" i="5"/>
  <c r="K356" i="5"/>
  <c r="C357" i="5"/>
  <c r="D357" i="5"/>
  <c r="E357" i="5"/>
  <c r="F357" i="5"/>
  <c r="G357" i="5"/>
  <c r="H357" i="5"/>
  <c r="I357" i="5"/>
  <c r="J357" i="5"/>
  <c r="K357" i="5"/>
  <c r="C358" i="5"/>
  <c r="D358" i="5"/>
  <c r="E358" i="5"/>
  <c r="F358" i="5"/>
  <c r="G358" i="5"/>
  <c r="H358" i="5"/>
  <c r="I358" i="5"/>
  <c r="J358" i="5"/>
  <c r="K358" i="5"/>
  <c r="C359" i="5"/>
  <c r="D359" i="5"/>
  <c r="E359" i="5"/>
  <c r="F359" i="5"/>
  <c r="G359" i="5"/>
  <c r="H359" i="5"/>
  <c r="I359" i="5"/>
  <c r="J359" i="5"/>
  <c r="K359" i="5"/>
  <c r="C360" i="5"/>
  <c r="D360" i="5"/>
  <c r="E360" i="5"/>
  <c r="F360" i="5"/>
  <c r="G360" i="5"/>
  <c r="H360" i="5"/>
  <c r="I360" i="5"/>
  <c r="J360" i="5"/>
  <c r="K360" i="5"/>
  <c r="C361" i="5"/>
  <c r="D361" i="5"/>
  <c r="E361" i="5"/>
  <c r="F361" i="5"/>
  <c r="G361" i="5"/>
  <c r="H361" i="5"/>
  <c r="I361" i="5"/>
  <c r="J361" i="5"/>
  <c r="K361" i="5"/>
  <c r="C362" i="5"/>
  <c r="D362" i="5"/>
  <c r="E362" i="5"/>
  <c r="F362" i="5"/>
  <c r="G362" i="5"/>
  <c r="H362" i="5"/>
  <c r="I362" i="5"/>
  <c r="J362" i="5"/>
  <c r="K362" i="5"/>
  <c r="C363" i="5"/>
  <c r="D363" i="5"/>
  <c r="E363" i="5"/>
  <c r="F363" i="5"/>
  <c r="G363" i="5"/>
  <c r="H363" i="5"/>
  <c r="I363" i="5"/>
  <c r="J363" i="5"/>
  <c r="K363" i="5"/>
  <c r="E58" i="6"/>
  <c r="D58" i="6"/>
  <c r="C58" i="6"/>
  <c r="C344" i="5"/>
  <c r="D344" i="5"/>
  <c r="E344" i="5"/>
  <c r="F344" i="5"/>
  <c r="G344" i="5"/>
  <c r="H344" i="5"/>
  <c r="I344" i="5"/>
  <c r="J344" i="5"/>
  <c r="K344" i="5"/>
  <c r="C345" i="5"/>
  <c r="D345" i="5"/>
  <c r="E345" i="5"/>
  <c r="F345" i="5"/>
  <c r="G345" i="5"/>
  <c r="H345" i="5"/>
  <c r="I345" i="5"/>
  <c r="J345" i="5"/>
  <c r="K345" i="5"/>
  <c r="C346" i="5"/>
  <c r="D346" i="5"/>
  <c r="E346" i="5"/>
  <c r="F346" i="5"/>
  <c r="G346" i="5"/>
  <c r="H346" i="5"/>
  <c r="I346" i="5"/>
  <c r="J346" i="5"/>
  <c r="K346" i="5"/>
  <c r="C347" i="5"/>
  <c r="D347" i="5"/>
  <c r="E347" i="5"/>
  <c r="F347" i="5"/>
  <c r="G347" i="5"/>
  <c r="H347" i="5"/>
  <c r="I347" i="5"/>
  <c r="J347" i="5"/>
  <c r="K347" i="5"/>
  <c r="C348" i="5"/>
  <c r="D348" i="5"/>
  <c r="E348" i="5"/>
  <c r="F348" i="5"/>
  <c r="G348" i="5"/>
  <c r="H348" i="5"/>
  <c r="I348" i="5"/>
  <c r="J348" i="5"/>
  <c r="K348" i="5"/>
  <c r="C349" i="5"/>
  <c r="D349" i="5"/>
  <c r="E349" i="5"/>
  <c r="F349" i="5"/>
  <c r="G349" i="5"/>
  <c r="H349" i="5"/>
  <c r="I349" i="5"/>
  <c r="J349" i="5"/>
  <c r="K349" i="5"/>
  <c r="C350" i="5"/>
  <c r="D350" i="5"/>
  <c r="E350" i="5"/>
  <c r="F350" i="5"/>
  <c r="G350" i="5"/>
  <c r="H350" i="5"/>
  <c r="I350" i="5"/>
  <c r="J350" i="5"/>
  <c r="K350" i="5"/>
  <c r="C351" i="5"/>
  <c r="D351" i="5"/>
  <c r="E351" i="5"/>
  <c r="F351" i="5"/>
  <c r="G351" i="5"/>
  <c r="H351" i="5"/>
  <c r="I351" i="5"/>
  <c r="J351" i="5"/>
  <c r="K351" i="5"/>
  <c r="C352" i="5"/>
  <c r="D352" i="5"/>
  <c r="E352" i="5"/>
  <c r="F352" i="5"/>
  <c r="G352" i="5"/>
  <c r="H352" i="5"/>
  <c r="I352" i="5"/>
  <c r="J352" i="5"/>
  <c r="K352" i="5"/>
  <c r="C353" i="5"/>
  <c r="D353" i="5"/>
  <c r="E353" i="5"/>
  <c r="F353" i="5"/>
  <c r="G353" i="5"/>
  <c r="H353" i="5"/>
  <c r="I353" i="5"/>
  <c r="J353" i="5"/>
  <c r="K353" i="5"/>
  <c r="E57" i="6"/>
  <c r="D57" i="6"/>
  <c r="C57" i="6"/>
  <c r="C334" i="5"/>
  <c r="D334" i="5"/>
  <c r="E334" i="5"/>
  <c r="F334" i="5"/>
  <c r="G334" i="5"/>
  <c r="H334" i="5"/>
  <c r="I334" i="5"/>
  <c r="J334" i="5"/>
  <c r="K334" i="5"/>
  <c r="C335" i="5"/>
  <c r="D335" i="5"/>
  <c r="E335" i="5"/>
  <c r="F335" i="5"/>
  <c r="G335" i="5"/>
  <c r="H335" i="5"/>
  <c r="I335" i="5"/>
  <c r="J335" i="5"/>
  <c r="K335" i="5"/>
  <c r="C336" i="5"/>
  <c r="D336" i="5"/>
  <c r="E336" i="5"/>
  <c r="F336" i="5"/>
  <c r="G336" i="5"/>
  <c r="H336" i="5"/>
  <c r="I336" i="5"/>
  <c r="J336" i="5"/>
  <c r="K336" i="5"/>
  <c r="C337" i="5"/>
  <c r="D337" i="5"/>
  <c r="E337" i="5"/>
  <c r="F337" i="5"/>
  <c r="G337" i="5"/>
  <c r="H337" i="5"/>
  <c r="I337" i="5"/>
  <c r="J337" i="5"/>
  <c r="K337" i="5"/>
  <c r="C338" i="5"/>
  <c r="D338" i="5"/>
  <c r="E338" i="5"/>
  <c r="F338" i="5"/>
  <c r="G338" i="5"/>
  <c r="H338" i="5"/>
  <c r="I338" i="5"/>
  <c r="J338" i="5"/>
  <c r="K338" i="5"/>
  <c r="C339" i="5"/>
  <c r="D339" i="5"/>
  <c r="E339" i="5"/>
  <c r="F339" i="5"/>
  <c r="G339" i="5"/>
  <c r="H339" i="5"/>
  <c r="I339" i="5"/>
  <c r="J339" i="5"/>
  <c r="K339" i="5"/>
  <c r="C340" i="5"/>
  <c r="D340" i="5"/>
  <c r="E340" i="5"/>
  <c r="F340" i="5"/>
  <c r="G340" i="5"/>
  <c r="H340" i="5"/>
  <c r="I340" i="5"/>
  <c r="J340" i="5"/>
  <c r="K340" i="5"/>
  <c r="C341" i="5"/>
  <c r="D341" i="5"/>
  <c r="E341" i="5"/>
  <c r="F341" i="5"/>
  <c r="G341" i="5"/>
  <c r="H341" i="5"/>
  <c r="I341" i="5"/>
  <c r="J341" i="5"/>
  <c r="K341" i="5"/>
  <c r="C342" i="5"/>
  <c r="D342" i="5"/>
  <c r="E342" i="5"/>
  <c r="F342" i="5"/>
  <c r="G342" i="5"/>
  <c r="H342" i="5"/>
  <c r="I342" i="5"/>
  <c r="J342" i="5"/>
  <c r="K342" i="5"/>
  <c r="C343" i="5"/>
  <c r="D343" i="5"/>
  <c r="E343" i="5"/>
  <c r="F343" i="5"/>
  <c r="G343" i="5"/>
  <c r="H343" i="5"/>
  <c r="I343" i="5"/>
  <c r="J343" i="5"/>
  <c r="K343" i="5"/>
  <c r="E56" i="6"/>
  <c r="D56" i="6"/>
  <c r="C56" i="6"/>
  <c r="C324" i="5"/>
  <c r="D324" i="5"/>
  <c r="E324" i="5"/>
  <c r="F324" i="5"/>
  <c r="G324" i="5"/>
  <c r="H324" i="5"/>
  <c r="I324" i="5"/>
  <c r="J324" i="5"/>
  <c r="K324" i="5"/>
  <c r="C325" i="5"/>
  <c r="D325" i="5"/>
  <c r="E325" i="5"/>
  <c r="F325" i="5"/>
  <c r="G325" i="5"/>
  <c r="H325" i="5"/>
  <c r="I325" i="5"/>
  <c r="J325" i="5"/>
  <c r="K325" i="5"/>
  <c r="C326" i="5"/>
  <c r="D326" i="5"/>
  <c r="E326" i="5"/>
  <c r="F326" i="5"/>
  <c r="G326" i="5"/>
  <c r="H326" i="5"/>
  <c r="I326" i="5"/>
  <c r="J326" i="5"/>
  <c r="K326" i="5"/>
  <c r="C327" i="5"/>
  <c r="D327" i="5"/>
  <c r="E327" i="5"/>
  <c r="F327" i="5"/>
  <c r="G327" i="5"/>
  <c r="H327" i="5"/>
  <c r="I327" i="5"/>
  <c r="J327" i="5"/>
  <c r="K327" i="5"/>
  <c r="C328" i="5"/>
  <c r="D328" i="5"/>
  <c r="E328" i="5"/>
  <c r="F328" i="5"/>
  <c r="G328" i="5"/>
  <c r="H328" i="5"/>
  <c r="I328" i="5"/>
  <c r="J328" i="5"/>
  <c r="K328" i="5"/>
  <c r="C329" i="5"/>
  <c r="D329" i="5"/>
  <c r="E329" i="5"/>
  <c r="F329" i="5"/>
  <c r="G329" i="5"/>
  <c r="H329" i="5"/>
  <c r="I329" i="5"/>
  <c r="J329" i="5"/>
  <c r="K329" i="5"/>
  <c r="C330" i="5"/>
  <c r="D330" i="5"/>
  <c r="E330" i="5"/>
  <c r="F330" i="5"/>
  <c r="G330" i="5"/>
  <c r="H330" i="5"/>
  <c r="I330" i="5"/>
  <c r="J330" i="5"/>
  <c r="K330" i="5"/>
  <c r="C331" i="5"/>
  <c r="D331" i="5"/>
  <c r="E331" i="5"/>
  <c r="F331" i="5"/>
  <c r="G331" i="5"/>
  <c r="H331" i="5"/>
  <c r="I331" i="5"/>
  <c r="J331" i="5"/>
  <c r="K331" i="5"/>
  <c r="C332" i="5"/>
  <c r="D332" i="5"/>
  <c r="E332" i="5"/>
  <c r="F332" i="5"/>
  <c r="G332" i="5"/>
  <c r="H332" i="5"/>
  <c r="I332" i="5"/>
  <c r="J332" i="5"/>
  <c r="K332" i="5"/>
  <c r="C333" i="5"/>
  <c r="D333" i="5"/>
  <c r="E333" i="5"/>
  <c r="F333" i="5"/>
  <c r="G333" i="5"/>
  <c r="H333" i="5"/>
  <c r="I333" i="5"/>
  <c r="J333" i="5"/>
  <c r="K333" i="5"/>
  <c r="E55" i="6"/>
  <c r="D55" i="6"/>
  <c r="C55" i="6"/>
  <c r="C314" i="5"/>
  <c r="D314" i="5"/>
  <c r="E314" i="5"/>
  <c r="F314" i="5"/>
  <c r="G314" i="5"/>
  <c r="H314" i="5"/>
  <c r="I314" i="5"/>
  <c r="J314" i="5"/>
  <c r="K314" i="5"/>
  <c r="C315" i="5"/>
  <c r="D315" i="5"/>
  <c r="E315" i="5"/>
  <c r="F315" i="5"/>
  <c r="G315" i="5"/>
  <c r="H315" i="5"/>
  <c r="I315" i="5"/>
  <c r="J315" i="5"/>
  <c r="K315" i="5"/>
  <c r="C316" i="5"/>
  <c r="D316" i="5"/>
  <c r="E316" i="5"/>
  <c r="F316" i="5"/>
  <c r="G316" i="5"/>
  <c r="H316" i="5"/>
  <c r="I316" i="5"/>
  <c r="J316" i="5"/>
  <c r="K316" i="5"/>
  <c r="C317" i="5"/>
  <c r="D317" i="5"/>
  <c r="E317" i="5"/>
  <c r="F317" i="5"/>
  <c r="G317" i="5"/>
  <c r="H317" i="5"/>
  <c r="I317" i="5"/>
  <c r="J317" i="5"/>
  <c r="K317" i="5"/>
  <c r="C318" i="5"/>
  <c r="D318" i="5"/>
  <c r="E318" i="5"/>
  <c r="F318" i="5"/>
  <c r="G318" i="5"/>
  <c r="H318" i="5"/>
  <c r="I318" i="5"/>
  <c r="J318" i="5"/>
  <c r="K318" i="5"/>
  <c r="C319" i="5"/>
  <c r="D319" i="5"/>
  <c r="E319" i="5"/>
  <c r="F319" i="5"/>
  <c r="G319" i="5"/>
  <c r="H319" i="5"/>
  <c r="I319" i="5"/>
  <c r="J319" i="5"/>
  <c r="K319" i="5"/>
  <c r="C320" i="5"/>
  <c r="D320" i="5"/>
  <c r="E320" i="5"/>
  <c r="F320" i="5"/>
  <c r="G320" i="5"/>
  <c r="H320" i="5"/>
  <c r="I320" i="5"/>
  <c r="J320" i="5"/>
  <c r="K320" i="5"/>
  <c r="C321" i="5"/>
  <c r="D321" i="5"/>
  <c r="E321" i="5"/>
  <c r="F321" i="5"/>
  <c r="G321" i="5"/>
  <c r="H321" i="5"/>
  <c r="I321" i="5"/>
  <c r="J321" i="5"/>
  <c r="K321" i="5"/>
  <c r="C322" i="5"/>
  <c r="D322" i="5"/>
  <c r="E322" i="5"/>
  <c r="F322" i="5"/>
  <c r="G322" i="5"/>
  <c r="H322" i="5"/>
  <c r="I322" i="5"/>
  <c r="J322" i="5"/>
  <c r="K322" i="5"/>
  <c r="C323" i="5"/>
  <c r="D323" i="5"/>
  <c r="E323" i="5"/>
  <c r="F323" i="5"/>
  <c r="G323" i="5"/>
  <c r="H323" i="5"/>
  <c r="I323" i="5"/>
  <c r="J323" i="5"/>
  <c r="K323" i="5"/>
  <c r="E54" i="6"/>
  <c r="D54" i="6"/>
  <c r="C54" i="6"/>
  <c r="C304" i="5"/>
  <c r="D304" i="5"/>
  <c r="E304" i="5"/>
  <c r="F304" i="5"/>
  <c r="G304" i="5"/>
  <c r="H304" i="5"/>
  <c r="I304" i="5"/>
  <c r="J304" i="5"/>
  <c r="K304" i="5"/>
  <c r="C305" i="5"/>
  <c r="D305" i="5"/>
  <c r="E305" i="5"/>
  <c r="F305" i="5"/>
  <c r="G305" i="5"/>
  <c r="H305" i="5"/>
  <c r="I305" i="5"/>
  <c r="J305" i="5"/>
  <c r="K305" i="5"/>
  <c r="C306" i="5"/>
  <c r="D306" i="5"/>
  <c r="E306" i="5"/>
  <c r="F306" i="5"/>
  <c r="G306" i="5"/>
  <c r="H306" i="5"/>
  <c r="I306" i="5"/>
  <c r="J306" i="5"/>
  <c r="K306" i="5"/>
  <c r="C307" i="5"/>
  <c r="D307" i="5"/>
  <c r="E307" i="5"/>
  <c r="F307" i="5"/>
  <c r="G307" i="5"/>
  <c r="H307" i="5"/>
  <c r="I307" i="5"/>
  <c r="J307" i="5"/>
  <c r="K307" i="5"/>
  <c r="C308" i="5"/>
  <c r="D308" i="5"/>
  <c r="E308" i="5"/>
  <c r="F308" i="5"/>
  <c r="G308" i="5"/>
  <c r="H308" i="5"/>
  <c r="I308" i="5"/>
  <c r="J308" i="5"/>
  <c r="K308" i="5"/>
  <c r="C309" i="5"/>
  <c r="D309" i="5"/>
  <c r="E309" i="5"/>
  <c r="F309" i="5"/>
  <c r="G309" i="5"/>
  <c r="H309" i="5"/>
  <c r="I309" i="5"/>
  <c r="J309" i="5"/>
  <c r="K309" i="5"/>
  <c r="C310" i="5"/>
  <c r="D310" i="5"/>
  <c r="E310" i="5"/>
  <c r="F310" i="5"/>
  <c r="G310" i="5"/>
  <c r="H310" i="5"/>
  <c r="I310" i="5"/>
  <c r="J310" i="5"/>
  <c r="K310" i="5"/>
  <c r="C311" i="5"/>
  <c r="D311" i="5"/>
  <c r="E311" i="5"/>
  <c r="F311" i="5"/>
  <c r="G311" i="5"/>
  <c r="H311" i="5"/>
  <c r="I311" i="5"/>
  <c r="J311" i="5"/>
  <c r="K311" i="5"/>
  <c r="C312" i="5"/>
  <c r="D312" i="5"/>
  <c r="E312" i="5"/>
  <c r="F312" i="5"/>
  <c r="G312" i="5"/>
  <c r="H312" i="5"/>
  <c r="I312" i="5"/>
  <c r="J312" i="5"/>
  <c r="K312" i="5"/>
  <c r="C313" i="5"/>
  <c r="D313" i="5"/>
  <c r="E313" i="5"/>
  <c r="F313" i="5"/>
  <c r="G313" i="5"/>
  <c r="H313" i="5"/>
  <c r="I313" i="5"/>
  <c r="J313" i="5"/>
  <c r="K313" i="5"/>
  <c r="E53" i="6"/>
  <c r="D53" i="6"/>
  <c r="C53" i="6"/>
  <c r="C294" i="5"/>
  <c r="D294" i="5"/>
  <c r="E294" i="5"/>
  <c r="F294" i="5"/>
  <c r="G294" i="5"/>
  <c r="H294" i="5"/>
  <c r="I294" i="5"/>
  <c r="J294" i="5"/>
  <c r="K294" i="5"/>
  <c r="C295" i="5"/>
  <c r="D295" i="5"/>
  <c r="E295" i="5"/>
  <c r="F295" i="5"/>
  <c r="G295" i="5"/>
  <c r="H295" i="5"/>
  <c r="I295" i="5"/>
  <c r="J295" i="5"/>
  <c r="K295" i="5"/>
  <c r="C296" i="5"/>
  <c r="D296" i="5"/>
  <c r="E296" i="5"/>
  <c r="F296" i="5"/>
  <c r="G296" i="5"/>
  <c r="H296" i="5"/>
  <c r="I296" i="5"/>
  <c r="J296" i="5"/>
  <c r="K296" i="5"/>
  <c r="C297" i="5"/>
  <c r="D297" i="5"/>
  <c r="E297" i="5"/>
  <c r="F297" i="5"/>
  <c r="G297" i="5"/>
  <c r="H297" i="5"/>
  <c r="I297" i="5"/>
  <c r="J297" i="5"/>
  <c r="K297" i="5"/>
  <c r="C298" i="5"/>
  <c r="D298" i="5"/>
  <c r="E298" i="5"/>
  <c r="F298" i="5"/>
  <c r="G298" i="5"/>
  <c r="H298" i="5"/>
  <c r="I298" i="5"/>
  <c r="J298" i="5"/>
  <c r="K298" i="5"/>
  <c r="C299" i="5"/>
  <c r="D299" i="5"/>
  <c r="E299" i="5"/>
  <c r="F299" i="5"/>
  <c r="G299" i="5"/>
  <c r="H299" i="5"/>
  <c r="I299" i="5"/>
  <c r="J299" i="5"/>
  <c r="K299" i="5"/>
  <c r="C300" i="5"/>
  <c r="D300" i="5"/>
  <c r="E300" i="5"/>
  <c r="F300" i="5"/>
  <c r="G300" i="5"/>
  <c r="H300" i="5"/>
  <c r="I300" i="5"/>
  <c r="J300" i="5"/>
  <c r="K300" i="5"/>
  <c r="C301" i="5"/>
  <c r="D301" i="5"/>
  <c r="E301" i="5"/>
  <c r="F301" i="5"/>
  <c r="G301" i="5"/>
  <c r="H301" i="5"/>
  <c r="I301" i="5"/>
  <c r="J301" i="5"/>
  <c r="K301" i="5"/>
  <c r="C302" i="5"/>
  <c r="D302" i="5"/>
  <c r="E302" i="5"/>
  <c r="F302" i="5"/>
  <c r="G302" i="5"/>
  <c r="H302" i="5"/>
  <c r="I302" i="5"/>
  <c r="J302" i="5"/>
  <c r="K302" i="5"/>
  <c r="C303" i="5"/>
  <c r="D303" i="5"/>
  <c r="E303" i="5"/>
  <c r="F303" i="5"/>
  <c r="G303" i="5"/>
  <c r="H303" i="5"/>
  <c r="I303" i="5"/>
  <c r="J303" i="5"/>
  <c r="K303" i="5"/>
  <c r="E52" i="6"/>
  <c r="D52" i="6"/>
  <c r="C52" i="6"/>
  <c r="C284" i="5"/>
  <c r="D284" i="5"/>
  <c r="E284" i="5"/>
  <c r="F284" i="5"/>
  <c r="G284" i="5"/>
  <c r="H284" i="5"/>
  <c r="I284" i="5"/>
  <c r="J284" i="5"/>
  <c r="K284" i="5"/>
  <c r="C285" i="5"/>
  <c r="D285" i="5"/>
  <c r="E285" i="5"/>
  <c r="F285" i="5"/>
  <c r="G285" i="5"/>
  <c r="H285" i="5"/>
  <c r="I285" i="5"/>
  <c r="J285" i="5"/>
  <c r="K285" i="5"/>
  <c r="C286" i="5"/>
  <c r="D286" i="5"/>
  <c r="E286" i="5"/>
  <c r="F286" i="5"/>
  <c r="G286" i="5"/>
  <c r="H286" i="5"/>
  <c r="I286" i="5"/>
  <c r="J286" i="5"/>
  <c r="K286" i="5"/>
  <c r="C287" i="5"/>
  <c r="D287" i="5"/>
  <c r="E287" i="5"/>
  <c r="F287" i="5"/>
  <c r="G287" i="5"/>
  <c r="H287" i="5"/>
  <c r="I287" i="5"/>
  <c r="J287" i="5"/>
  <c r="K287" i="5"/>
  <c r="C288" i="5"/>
  <c r="D288" i="5"/>
  <c r="E288" i="5"/>
  <c r="F288" i="5"/>
  <c r="G288" i="5"/>
  <c r="H288" i="5"/>
  <c r="I288" i="5"/>
  <c r="J288" i="5"/>
  <c r="K288" i="5"/>
  <c r="C289" i="5"/>
  <c r="D289" i="5"/>
  <c r="E289" i="5"/>
  <c r="F289" i="5"/>
  <c r="G289" i="5"/>
  <c r="H289" i="5"/>
  <c r="I289" i="5"/>
  <c r="J289" i="5"/>
  <c r="K289" i="5"/>
  <c r="C290" i="5"/>
  <c r="D290" i="5"/>
  <c r="E290" i="5"/>
  <c r="F290" i="5"/>
  <c r="G290" i="5"/>
  <c r="H290" i="5"/>
  <c r="I290" i="5"/>
  <c r="J290" i="5"/>
  <c r="K290" i="5"/>
  <c r="C291" i="5"/>
  <c r="D291" i="5"/>
  <c r="E291" i="5"/>
  <c r="F291" i="5"/>
  <c r="G291" i="5"/>
  <c r="H291" i="5"/>
  <c r="I291" i="5"/>
  <c r="J291" i="5"/>
  <c r="K291" i="5"/>
  <c r="C292" i="5"/>
  <c r="D292" i="5"/>
  <c r="E292" i="5"/>
  <c r="F292" i="5"/>
  <c r="G292" i="5"/>
  <c r="H292" i="5"/>
  <c r="I292" i="5"/>
  <c r="J292" i="5"/>
  <c r="K292" i="5"/>
  <c r="C293" i="5"/>
  <c r="D293" i="5"/>
  <c r="E293" i="5"/>
  <c r="F293" i="5"/>
  <c r="G293" i="5"/>
  <c r="H293" i="5"/>
  <c r="I293" i="5"/>
  <c r="J293" i="5"/>
  <c r="K293" i="5"/>
  <c r="E51" i="6"/>
  <c r="D51" i="6"/>
  <c r="C51" i="6"/>
  <c r="C274" i="5"/>
  <c r="D274" i="5"/>
  <c r="E274" i="5"/>
  <c r="F274" i="5"/>
  <c r="G274" i="5"/>
  <c r="H274" i="5"/>
  <c r="I274" i="5"/>
  <c r="J274" i="5"/>
  <c r="K274" i="5"/>
  <c r="C275" i="5"/>
  <c r="D275" i="5"/>
  <c r="E275" i="5"/>
  <c r="F275" i="5"/>
  <c r="G275" i="5"/>
  <c r="H275" i="5"/>
  <c r="I275" i="5"/>
  <c r="J275" i="5"/>
  <c r="K275" i="5"/>
  <c r="C276" i="5"/>
  <c r="D276" i="5"/>
  <c r="E276" i="5"/>
  <c r="F276" i="5"/>
  <c r="G276" i="5"/>
  <c r="H276" i="5"/>
  <c r="I276" i="5"/>
  <c r="J276" i="5"/>
  <c r="K276" i="5"/>
  <c r="C277" i="5"/>
  <c r="D277" i="5"/>
  <c r="E277" i="5"/>
  <c r="F277" i="5"/>
  <c r="G277" i="5"/>
  <c r="H277" i="5"/>
  <c r="I277" i="5"/>
  <c r="J277" i="5"/>
  <c r="K277" i="5"/>
  <c r="C278" i="5"/>
  <c r="D278" i="5"/>
  <c r="E278" i="5"/>
  <c r="F278" i="5"/>
  <c r="G278" i="5"/>
  <c r="H278" i="5"/>
  <c r="I278" i="5"/>
  <c r="J278" i="5"/>
  <c r="K278" i="5"/>
  <c r="C279" i="5"/>
  <c r="D279" i="5"/>
  <c r="E279" i="5"/>
  <c r="F279" i="5"/>
  <c r="G279" i="5"/>
  <c r="H279" i="5"/>
  <c r="I279" i="5"/>
  <c r="J279" i="5"/>
  <c r="K279" i="5"/>
  <c r="C280" i="5"/>
  <c r="D280" i="5"/>
  <c r="E280" i="5"/>
  <c r="F280" i="5"/>
  <c r="G280" i="5"/>
  <c r="H280" i="5"/>
  <c r="I280" i="5"/>
  <c r="J280" i="5"/>
  <c r="K280" i="5"/>
  <c r="C281" i="5"/>
  <c r="D281" i="5"/>
  <c r="E281" i="5"/>
  <c r="F281" i="5"/>
  <c r="G281" i="5"/>
  <c r="H281" i="5"/>
  <c r="I281" i="5"/>
  <c r="J281" i="5"/>
  <c r="K281" i="5"/>
  <c r="C282" i="5"/>
  <c r="D282" i="5"/>
  <c r="E282" i="5"/>
  <c r="F282" i="5"/>
  <c r="G282" i="5"/>
  <c r="H282" i="5"/>
  <c r="I282" i="5"/>
  <c r="J282" i="5"/>
  <c r="K282" i="5"/>
  <c r="C283" i="5"/>
  <c r="D283" i="5"/>
  <c r="E283" i="5"/>
  <c r="F283" i="5"/>
  <c r="G283" i="5"/>
  <c r="H283" i="5"/>
  <c r="I283" i="5"/>
  <c r="J283" i="5"/>
  <c r="K283" i="5"/>
  <c r="E50" i="6"/>
  <c r="D50" i="6"/>
  <c r="C50" i="6"/>
  <c r="C264" i="5"/>
  <c r="D264" i="5"/>
  <c r="E264" i="5"/>
  <c r="F264" i="5"/>
  <c r="G264" i="5"/>
  <c r="H264" i="5"/>
  <c r="I264" i="5"/>
  <c r="J264" i="5"/>
  <c r="K264" i="5"/>
  <c r="C265" i="5"/>
  <c r="D265" i="5"/>
  <c r="E265" i="5"/>
  <c r="F265" i="5"/>
  <c r="G265" i="5"/>
  <c r="H265" i="5"/>
  <c r="I265" i="5"/>
  <c r="J265" i="5"/>
  <c r="K265" i="5"/>
  <c r="C266" i="5"/>
  <c r="D266" i="5"/>
  <c r="E266" i="5"/>
  <c r="F266" i="5"/>
  <c r="G266" i="5"/>
  <c r="H266" i="5"/>
  <c r="I266" i="5"/>
  <c r="J266" i="5"/>
  <c r="K266" i="5"/>
  <c r="C267" i="5"/>
  <c r="D267" i="5"/>
  <c r="E267" i="5"/>
  <c r="F267" i="5"/>
  <c r="G267" i="5"/>
  <c r="H267" i="5"/>
  <c r="I267" i="5"/>
  <c r="J267" i="5"/>
  <c r="K267" i="5"/>
  <c r="C268" i="5"/>
  <c r="D268" i="5"/>
  <c r="E268" i="5"/>
  <c r="F268" i="5"/>
  <c r="G268" i="5"/>
  <c r="H268" i="5"/>
  <c r="I268" i="5"/>
  <c r="J268" i="5"/>
  <c r="K268" i="5"/>
  <c r="C269" i="5"/>
  <c r="D269" i="5"/>
  <c r="E269" i="5"/>
  <c r="F269" i="5"/>
  <c r="G269" i="5"/>
  <c r="H269" i="5"/>
  <c r="I269" i="5"/>
  <c r="J269" i="5"/>
  <c r="K269" i="5"/>
  <c r="C270" i="5"/>
  <c r="D270" i="5"/>
  <c r="E270" i="5"/>
  <c r="F270" i="5"/>
  <c r="G270" i="5"/>
  <c r="H270" i="5"/>
  <c r="I270" i="5"/>
  <c r="J270" i="5"/>
  <c r="K270" i="5"/>
  <c r="C271" i="5"/>
  <c r="D271" i="5"/>
  <c r="E271" i="5"/>
  <c r="F271" i="5"/>
  <c r="G271" i="5"/>
  <c r="H271" i="5"/>
  <c r="I271" i="5"/>
  <c r="J271" i="5"/>
  <c r="K271" i="5"/>
  <c r="C272" i="5"/>
  <c r="D272" i="5"/>
  <c r="E272" i="5"/>
  <c r="F272" i="5"/>
  <c r="G272" i="5"/>
  <c r="H272" i="5"/>
  <c r="I272" i="5"/>
  <c r="J272" i="5"/>
  <c r="K272" i="5"/>
  <c r="C273" i="5"/>
  <c r="D273" i="5"/>
  <c r="E273" i="5"/>
  <c r="F273" i="5"/>
  <c r="G273" i="5"/>
  <c r="H273" i="5"/>
  <c r="I273" i="5"/>
  <c r="J273" i="5"/>
  <c r="K273" i="5"/>
  <c r="E49" i="6"/>
  <c r="D49" i="6"/>
  <c r="C49" i="6"/>
  <c r="C254" i="5"/>
  <c r="D254" i="5"/>
  <c r="E254" i="5"/>
  <c r="F254" i="5"/>
  <c r="G254" i="5"/>
  <c r="H254" i="5"/>
  <c r="I254" i="5"/>
  <c r="J254" i="5"/>
  <c r="K254" i="5"/>
  <c r="C255" i="5"/>
  <c r="D255" i="5"/>
  <c r="E255" i="5"/>
  <c r="F255" i="5"/>
  <c r="G255" i="5"/>
  <c r="H255" i="5"/>
  <c r="I255" i="5"/>
  <c r="J255" i="5"/>
  <c r="K255" i="5"/>
  <c r="C256" i="5"/>
  <c r="D256" i="5"/>
  <c r="E256" i="5"/>
  <c r="F256" i="5"/>
  <c r="G256" i="5"/>
  <c r="H256" i="5"/>
  <c r="I256" i="5"/>
  <c r="J256" i="5"/>
  <c r="K256" i="5"/>
  <c r="C257" i="5"/>
  <c r="D257" i="5"/>
  <c r="E257" i="5"/>
  <c r="F257" i="5"/>
  <c r="G257" i="5"/>
  <c r="H257" i="5"/>
  <c r="I257" i="5"/>
  <c r="J257" i="5"/>
  <c r="K257" i="5"/>
  <c r="C258" i="5"/>
  <c r="D258" i="5"/>
  <c r="E258" i="5"/>
  <c r="F258" i="5"/>
  <c r="G258" i="5"/>
  <c r="H258" i="5"/>
  <c r="I258" i="5"/>
  <c r="J258" i="5"/>
  <c r="K258" i="5"/>
  <c r="C259" i="5"/>
  <c r="D259" i="5"/>
  <c r="E259" i="5"/>
  <c r="F259" i="5"/>
  <c r="G259" i="5"/>
  <c r="H259" i="5"/>
  <c r="I259" i="5"/>
  <c r="J259" i="5"/>
  <c r="K259" i="5"/>
  <c r="C260" i="5"/>
  <c r="D260" i="5"/>
  <c r="E260" i="5"/>
  <c r="F260" i="5"/>
  <c r="G260" i="5"/>
  <c r="H260" i="5"/>
  <c r="I260" i="5"/>
  <c r="J260" i="5"/>
  <c r="K260" i="5"/>
  <c r="C261" i="5"/>
  <c r="D261" i="5"/>
  <c r="E261" i="5"/>
  <c r="F261" i="5"/>
  <c r="G261" i="5"/>
  <c r="H261" i="5"/>
  <c r="I261" i="5"/>
  <c r="J261" i="5"/>
  <c r="K261" i="5"/>
  <c r="C262" i="5"/>
  <c r="D262" i="5"/>
  <c r="E262" i="5"/>
  <c r="F262" i="5"/>
  <c r="G262" i="5"/>
  <c r="H262" i="5"/>
  <c r="I262" i="5"/>
  <c r="J262" i="5"/>
  <c r="K262" i="5"/>
  <c r="C263" i="5"/>
  <c r="D263" i="5"/>
  <c r="E263" i="5"/>
  <c r="F263" i="5"/>
  <c r="G263" i="5"/>
  <c r="H263" i="5"/>
  <c r="I263" i="5"/>
  <c r="J263" i="5"/>
  <c r="K263" i="5"/>
  <c r="E48" i="6"/>
  <c r="D48" i="6"/>
  <c r="C48" i="6"/>
  <c r="C244" i="5"/>
  <c r="D244" i="5"/>
  <c r="E244" i="5"/>
  <c r="F244" i="5"/>
  <c r="G244" i="5"/>
  <c r="H244" i="5"/>
  <c r="I244" i="5"/>
  <c r="J244" i="5"/>
  <c r="K244" i="5"/>
  <c r="C245" i="5"/>
  <c r="D245" i="5"/>
  <c r="E245" i="5"/>
  <c r="F245" i="5"/>
  <c r="G245" i="5"/>
  <c r="H245" i="5"/>
  <c r="I245" i="5"/>
  <c r="J245" i="5"/>
  <c r="K245" i="5"/>
  <c r="C246" i="5"/>
  <c r="D246" i="5"/>
  <c r="E246" i="5"/>
  <c r="F246" i="5"/>
  <c r="G246" i="5"/>
  <c r="H246" i="5"/>
  <c r="I246" i="5"/>
  <c r="J246" i="5"/>
  <c r="K246" i="5"/>
  <c r="C247" i="5"/>
  <c r="D247" i="5"/>
  <c r="E247" i="5"/>
  <c r="F247" i="5"/>
  <c r="G247" i="5"/>
  <c r="H247" i="5"/>
  <c r="I247" i="5"/>
  <c r="J247" i="5"/>
  <c r="K247" i="5"/>
  <c r="C248" i="5"/>
  <c r="D248" i="5"/>
  <c r="E248" i="5"/>
  <c r="F248" i="5"/>
  <c r="G248" i="5"/>
  <c r="H248" i="5"/>
  <c r="I248" i="5"/>
  <c r="J248" i="5"/>
  <c r="K248" i="5"/>
  <c r="C249" i="5"/>
  <c r="D249" i="5"/>
  <c r="E249" i="5"/>
  <c r="F249" i="5"/>
  <c r="G249" i="5"/>
  <c r="H249" i="5"/>
  <c r="I249" i="5"/>
  <c r="J249" i="5"/>
  <c r="K249" i="5"/>
  <c r="C250" i="5"/>
  <c r="D250" i="5"/>
  <c r="E250" i="5"/>
  <c r="F250" i="5"/>
  <c r="G250" i="5"/>
  <c r="H250" i="5"/>
  <c r="I250" i="5"/>
  <c r="J250" i="5"/>
  <c r="K250" i="5"/>
  <c r="C251" i="5"/>
  <c r="D251" i="5"/>
  <c r="E251" i="5"/>
  <c r="F251" i="5"/>
  <c r="G251" i="5"/>
  <c r="H251" i="5"/>
  <c r="I251" i="5"/>
  <c r="J251" i="5"/>
  <c r="K251" i="5"/>
  <c r="C252" i="5"/>
  <c r="D252" i="5"/>
  <c r="E252" i="5"/>
  <c r="F252" i="5"/>
  <c r="G252" i="5"/>
  <c r="H252" i="5"/>
  <c r="I252" i="5"/>
  <c r="J252" i="5"/>
  <c r="K252" i="5"/>
  <c r="C253" i="5"/>
  <c r="D253" i="5"/>
  <c r="E253" i="5"/>
  <c r="F253" i="5"/>
  <c r="G253" i="5"/>
  <c r="H253" i="5"/>
  <c r="I253" i="5"/>
  <c r="J253" i="5"/>
  <c r="K253" i="5"/>
  <c r="E47" i="6"/>
  <c r="D47" i="6"/>
  <c r="C47" i="6"/>
  <c r="C234" i="5"/>
  <c r="D234" i="5"/>
  <c r="E234" i="5"/>
  <c r="F234" i="5"/>
  <c r="G234" i="5"/>
  <c r="H234" i="5"/>
  <c r="I234" i="5"/>
  <c r="J234" i="5"/>
  <c r="K234" i="5"/>
  <c r="C235" i="5"/>
  <c r="D235" i="5"/>
  <c r="E235" i="5"/>
  <c r="F235" i="5"/>
  <c r="G235" i="5"/>
  <c r="H235" i="5"/>
  <c r="I235" i="5"/>
  <c r="J235" i="5"/>
  <c r="K235" i="5"/>
  <c r="C236" i="5"/>
  <c r="D236" i="5"/>
  <c r="E236" i="5"/>
  <c r="F236" i="5"/>
  <c r="G236" i="5"/>
  <c r="H236" i="5"/>
  <c r="I236" i="5"/>
  <c r="J236" i="5"/>
  <c r="K236" i="5"/>
  <c r="C237" i="5"/>
  <c r="D237" i="5"/>
  <c r="E237" i="5"/>
  <c r="F237" i="5"/>
  <c r="G237" i="5"/>
  <c r="H237" i="5"/>
  <c r="I237" i="5"/>
  <c r="J237" i="5"/>
  <c r="K237" i="5"/>
  <c r="C238" i="5"/>
  <c r="D238" i="5"/>
  <c r="E238" i="5"/>
  <c r="F238" i="5"/>
  <c r="G238" i="5"/>
  <c r="H238" i="5"/>
  <c r="I238" i="5"/>
  <c r="J238" i="5"/>
  <c r="K238" i="5"/>
  <c r="C239" i="5"/>
  <c r="D239" i="5"/>
  <c r="E239" i="5"/>
  <c r="F239" i="5"/>
  <c r="G239" i="5"/>
  <c r="H239" i="5"/>
  <c r="I239" i="5"/>
  <c r="J239" i="5"/>
  <c r="K239" i="5"/>
  <c r="C240" i="5"/>
  <c r="D240" i="5"/>
  <c r="E240" i="5"/>
  <c r="F240" i="5"/>
  <c r="G240" i="5"/>
  <c r="H240" i="5"/>
  <c r="I240" i="5"/>
  <c r="J240" i="5"/>
  <c r="K240" i="5"/>
  <c r="C241" i="5"/>
  <c r="D241" i="5"/>
  <c r="E241" i="5"/>
  <c r="F241" i="5"/>
  <c r="G241" i="5"/>
  <c r="H241" i="5"/>
  <c r="I241" i="5"/>
  <c r="J241" i="5"/>
  <c r="K241" i="5"/>
  <c r="C242" i="5"/>
  <c r="D242" i="5"/>
  <c r="E242" i="5"/>
  <c r="F242" i="5"/>
  <c r="G242" i="5"/>
  <c r="H242" i="5"/>
  <c r="I242" i="5"/>
  <c r="J242" i="5"/>
  <c r="K242" i="5"/>
  <c r="C243" i="5"/>
  <c r="D243" i="5"/>
  <c r="E243" i="5"/>
  <c r="F243" i="5"/>
  <c r="G243" i="5"/>
  <c r="H243" i="5"/>
  <c r="I243" i="5"/>
  <c r="J243" i="5"/>
  <c r="K243" i="5"/>
  <c r="E46" i="6"/>
  <c r="D46" i="6"/>
  <c r="C46" i="6"/>
  <c r="C224" i="5"/>
  <c r="D224" i="5"/>
  <c r="E224" i="5"/>
  <c r="F224" i="5"/>
  <c r="G224" i="5"/>
  <c r="H224" i="5"/>
  <c r="I224" i="5"/>
  <c r="J224" i="5"/>
  <c r="K224" i="5"/>
  <c r="C225" i="5"/>
  <c r="D225" i="5"/>
  <c r="E225" i="5"/>
  <c r="F225" i="5"/>
  <c r="G225" i="5"/>
  <c r="H225" i="5"/>
  <c r="I225" i="5"/>
  <c r="J225" i="5"/>
  <c r="K225" i="5"/>
  <c r="C226" i="5"/>
  <c r="D226" i="5"/>
  <c r="E226" i="5"/>
  <c r="F226" i="5"/>
  <c r="G226" i="5"/>
  <c r="H226" i="5"/>
  <c r="I226" i="5"/>
  <c r="J226" i="5"/>
  <c r="K226" i="5"/>
  <c r="C227" i="5"/>
  <c r="D227" i="5"/>
  <c r="E227" i="5"/>
  <c r="F227" i="5"/>
  <c r="G227" i="5"/>
  <c r="H227" i="5"/>
  <c r="I227" i="5"/>
  <c r="J227" i="5"/>
  <c r="K227" i="5"/>
  <c r="C228" i="5"/>
  <c r="D228" i="5"/>
  <c r="E228" i="5"/>
  <c r="F228" i="5"/>
  <c r="G228" i="5"/>
  <c r="H228" i="5"/>
  <c r="I228" i="5"/>
  <c r="J228" i="5"/>
  <c r="K228" i="5"/>
  <c r="C229" i="5"/>
  <c r="D229" i="5"/>
  <c r="E229" i="5"/>
  <c r="F229" i="5"/>
  <c r="G229" i="5"/>
  <c r="H229" i="5"/>
  <c r="I229" i="5"/>
  <c r="J229" i="5"/>
  <c r="K229" i="5"/>
  <c r="C230" i="5"/>
  <c r="D230" i="5"/>
  <c r="E230" i="5"/>
  <c r="F230" i="5"/>
  <c r="G230" i="5"/>
  <c r="H230" i="5"/>
  <c r="I230" i="5"/>
  <c r="J230" i="5"/>
  <c r="K230" i="5"/>
  <c r="C231" i="5"/>
  <c r="D231" i="5"/>
  <c r="E231" i="5"/>
  <c r="F231" i="5"/>
  <c r="G231" i="5"/>
  <c r="H231" i="5"/>
  <c r="I231" i="5"/>
  <c r="J231" i="5"/>
  <c r="K231" i="5"/>
  <c r="C232" i="5"/>
  <c r="D232" i="5"/>
  <c r="E232" i="5"/>
  <c r="F232" i="5"/>
  <c r="G232" i="5"/>
  <c r="H232" i="5"/>
  <c r="I232" i="5"/>
  <c r="J232" i="5"/>
  <c r="K232" i="5"/>
  <c r="C233" i="5"/>
  <c r="D233" i="5"/>
  <c r="E233" i="5"/>
  <c r="F233" i="5"/>
  <c r="G233" i="5"/>
  <c r="H233" i="5"/>
  <c r="I233" i="5"/>
  <c r="J233" i="5"/>
  <c r="K233" i="5"/>
  <c r="E45" i="6"/>
  <c r="D45" i="6"/>
  <c r="C45" i="6"/>
  <c r="C214" i="5"/>
  <c r="D214" i="5"/>
  <c r="E214" i="5"/>
  <c r="F214" i="5"/>
  <c r="G214" i="5"/>
  <c r="H214" i="5"/>
  <c r="I214" i="5"/>
  <c r="J214" i="5"/>
  <c r="K214" i="5"/>
  <c r="C215" i="5"/>
  <c r="D215" i="5"/>
  <c r="E215" i="5"/>
  <c r="F215" i="5"/>
  <c r="G215" i="5"/>
  <c r="H215" i="5"/>
  <c r="I215" i="5"/>
  <c r="J215" i="5"/>
  <c r="K215" i="5"/>
  <c r="C216" i="5"/>
  <c r="D216" i="5"/>
  <c r="E216" i="5"/>
  <c r="F216" i="5"/>
  <c r="G216" i="5"/>
  <c r="H216" i="5"/>
  <c r="I216" i="5"/>
  <c r="J216" i="5"/>
  <c r="K216" i="5"/>
  <c r="C217" i="5"/>
  <c r="D217" i="5"/>
  <c r="E217" i="5"/>
  <c r="F217" i="5"/>
  <c r="G217" i="5"/>
  <c r="H217" i="5"/>
  <c r="I217" i="5"/>
  <c r="J217" i="5"/>
  <c r="K217" i="5"/>
  <c r="C218" i="5"/>
  <c r="D218" i="5"/>
  <c r="E218" i="5"/>
  <c r="F218" i="5"/>
  <c r="G218" i="5"/>
  <c r="H218" i="5"/>
  <c r="I218" i="5"/>
  <c r="J218" i="5"/>
  <c r="K218" i="5"/>
  <c r="C219" i="5"/>
  <c r="D219" i="5"/>
  <c r="E219" i="5"/>
  <c r="F219" i="5"/>
  <c r="G219" i="5"/>
  <c r="H219" i="5"/>
  <c r="I219" i="5"/>
  <c r="J219" i="5"/>
  <c r="K219" i="5"/>
  <c r="C220" i="5"/>
  <c r="D220" i="5"/>
  <c r="E220" i="5"/>
  <c r="F220" i="5"/>
  <c r="G220" i="5"/>
  <c r="H220" i="5"/>
  <c r="I220" i="5"/>
  <c r="J220" i="5"/>
  <c r="K220" i="5"/>
  <c r="C221" i="5"/>
  <c r="D221" i="5"/>
  <c r="E221" i="5"/>
  <c r="F221" i="5"/>
  <c r="G221" i="5"/>
  <c r="H221" i="5"/>
  <c r="I221" i="5"/>
  <c r="J221" i="5"/>
  <c r="K221" i="5"/>
  <c r="C222" i="5"/>
  <c r="D222" i="5"/>
  <c r="E222" i="5"/>
  <c r="F222" i="5"/>
  <c r="G222" i="5"/>
  <c r="H222" i="5"/>
  <c r="I222" i="5"/>
  <c r="J222" i="5"/>
  <c r="K222" i="5"/>
  <c r="C223" i="5"/>
  <c r="D223" i="5"/>
  <c r="E223" i="5"/>
  <c r="F223" i="5"/>
  <c r="G223" i="5"/>
  <c r="H223" i="5"/>
  <c r="I223" i="5"/>
  <c r="J223" i="5"/>
  <c r="K223" i="5"/>
  <c r="E44" i="6"/>
  <c r="D44" i="6"/>
  <c r="C44" i="6"/>
  <c r="C204" i="5"/>
  <c r="D204" i="5"/>
  <c r="E204" i="5"/>
  <c r="F204" i="5"/>
  <c r="G204" i="5"/>
  <c r="H204" i="5"/>
  <c r="I204" i="5"/>
  <c r="J204" i="5"/>
  <c r="K204" i="5"/>
  <c r="C205" i="5"/>
  <c r="D205" i="5"/>
  <c r="E205" i="5"/>
  <c r="F205" i="5"/>
  <c r="G205" i="5"/>
  <c r="H205" i="5"/>
  <c r="I205" i="5"/>
  <c r="J205" i="5"/>
  <c r="K205" i="5"/>
  <c r="C206" i="5"/>
  <c r="D206" i="5"/>
  <c r="E206" i="5"/>
  <c r="F206" i="5"/>
  <c r="G206" i="5"/>
  <c r="H206" i="5"/>
  <c r="I206" i="5"/>
  <c r="J206" i="5"/>
  <c r="K206" i="5"/>
  <c r="C207" i="5"/>
  <c r="D207" i="5"/>
  <c r="E207" i="5"/>
  <c r="F207" i="5"/>
  <c r="G207" i="5"/>
  <c r="H207" i="5"/>
  <c r="I207" i="5"/>
  <c r="J207" i="5"/>
  <c r="K207" i="5"/>
  <c r="C208" i="5"/>
  <c r="D208" i="5"/>
  <c r="E208" i="5"/>
  <c r="F208" i="5"/>
  <c r="G208" i="5"/>
  <c r="H208" i="5"/>
  <c r="I208" i="5"/>
  <c r="J208" i="5"/>
  <c r="K208" i="5"/>
  <c r="C209" i="5"/>
  <c r="D209" i="5"/>
  <c r="E209" i="5"/>
  <c r="F209" i="5"/>
  <c r="G209" i="5"/>
  <c r="H209" i="5"/>
  <c r="I209" i="5"/>
  <c r="J209" i="5"/>
  <c r="K209" i="5"/>
  <c r="C210" i="5"/>
  <c r="D210" i="5"/>
  <c r="E210" i="5"/>
  <c r="F210" i="5"/>
  <c r="G210" i="5"/>
  <c r="H210" i="5"/>
  <c r="I210" i="5"/>
  <c r="J210" i="5"/>
  <c r="K210" i="5"/>
  <c r="C211" i="5"/>
  <c r="D211" i="5"/>
  <c r="E211" i="5"/>
  <c r="F211" i="5"/>
  <c r="G211" i="5"/>
  <c r="H211" i="5"/>
  <c r="I211" i="5"/>
  <c r="J211" i="5"/>
  <c r="K211" i="5"/>
  <c r="C212" i="5"/>
  <c r="D212" i="5"/>
  <c r="E212" i="5"/>
  <c r="F212" i="5"/>
  <c r="G212" i="5"/>
  <c r="H212" i="5"/>
  <c r="I212" i="5"/>
  <c r="J212" i="5"/>
  <c r="K212" i="5"/>
  <c r="C213" i="5"/>
  <c r="D213" i="5"/>
  <c r="E213" i="5"/>
  <c r="F213" i="5"/>
  <c r="G213" i="5"/>
  <c r="H213" i="5"/>
  <c r="I213" i="5"/>
  <c r="J213" i="5"/>
  <c r="K213" i="5"/>
  <c r="E43" i="6"/>
  <c r="D43" i="6"/>
  <c r="C43" i="6"/>
  <c r="C194" i="5"/>
  <c r="D194" i="5"/>
  <c r="E194" i="5"/>
  <c r="F194" i="5"/>
  <c r="G194" i="5"/>
  <c r="H194" i="5"/>
  <c r="I194" i="5"/>
  <c r="J194" i="5"/>
  <c r="K194" i="5"/>
  <c r="C195" i="5"/>
  <c r="D195" i="5"/>
  <c r="E195" i="5"/>
  <c r="F195" i="5"/>
  <c r="G195" i="5"/>
  <c r="H195" i="5"/>
  <c r="I195" i="5"/>
  <c r="J195" i="5"/>
  <c r="K195" i="5"/>
  <c r="C196" i="5"/>
  <c r="D196" i="5"/>
  <c r="E196" i="5"/>
  <c r="F196" i="5"/>
  <c r="G196" i="5"/>
  <c r="H196" i="5"/>
  <c r="I196" i="5"/>
  <c r="J196" i="5"/>
  <c r="K196" i="5"/>
  <c r="C197" i="5"/>
  <c r="D197" i="5"/>
  <c r="E197" i="5"/>
  <c r="F197" i="5"/>
  <c r="G197" i="5"/>
  <c r="H197" i="5"/>
  <c r="I197" i="5"/>
  <c r="J197" i="5"/>
  <c r="K197" i="5"/>
  <c r="C198" i="5"/>
  <c r="D198" i="5"/>
  <c r="E198" i="5"/>
  <c r="F198" i="5"/>
  <c r="G198" i="5"/>
  <c r="H198" i="5"/>
  <c r="I198" i="5"/>
  <c r="J198" i="5"/>
  <c r="K198" i="5"/>
  <c r="C199" i="5"/>
  <c r="D199" i="5"/>
  <c r="E199" i="5"/>
  <c r="F199" i="5"/>
  <c r="G199" i="5"/>
  <c r="H199" i="5"/>
  <c r="I199" i="5"/>
  <c r="J199" i="5"/>
  <c r="K199" i="5"/>
  <c r="C200" i="5"/>
  <c r="D200" i="5"/>
  <c r="E200" i="5"/>
  <c r="F200" i="5"/>
  <c r="G200" i="5"/>
  <c r="H200" i="5"/>
  <c r="I200" i="5"/>
  <c r="J200" i="5"/>
  <c r="K200" i="5"/>
  <c r="C201" i="5"/>
  <c r="D201" i="5"/>
  <c r="E201" i="5"/>
  <c r="F201" i="5"/>
  <c r="G201" i="5"/>
  <c r="H201" i="5"/>
  <c r="I201" i="5"/>
  <c r="J201" i="5"/>
  <c r="K201" i="5"/>
  <c r="C202" i="5"/>
  <c r="D202" i="5"/>
  <c r="E202" i="5"/>
  <c r="F202" i="5"/>
  <c r="G202" i="5"/>
  <c r="H202" i="5"/>
  <c r="I202" i="5"/>
  <c r="J202" i="5"/>
  <c r="K202" i="5"/>
  <c r="C203" i="5"/>
  <c r="D203" i="5"/>
  <c r="E203" i="5"/>
  <c r="F203" i="5"/>
  <c r="G203" i="5"/>
  <c r="H203" i="5"/>
  <c r="I203" i="5"/>
  <c r="J203" i="5"/>
  <c r="K203" i="5"/>
  <c r="E42" i="6"/>
  <c r="D42" i="6"/>
  <c r="C42" i="6"/>
  <c r="C184" i="5"/>
  <c r="D184" i="5"/>
  <c r="E184" i="5"/>
  <c r="F184" i="5"/>
  <c r="G184" i="5"/>
  <c r="H184" i="5"/>
  <c r="I184" i="5"/>
  <c r="J184" i="5"/>
  <c r="K184" i="5"/>
  <c r="C185" i="5"/>
  <c r="D185" i="5"/>
  <c r="E185" i="5"/>
  <c r="F185" i="5"/>
  <c r="G185" i="5"/>
  <c r="H185" i="5"/>
  <c r="I185" i="5"/>
  <c r="J185" i="5"/>
  <c r="K185" i="5"/>
  <c r="C186" i="5"/>
  <c r="D186" i="5"/>
  <c r="E186" i="5"/>
  <c r="F186" i="5"/>
  <c r="G186" i="5"/>
  <c r="H186" i="5"/>
  <c r="I186" i="5"/>
  <c r="J186" i="5"/>
  <c r="K186" i="5"/>
  <c r="C187" i="5"/>
  <c r="D187" i="5"/>
  <c r="E187" i="5"/>
  <c r="F187" i="5"/>
  <c r="G187" i="5"/>
  <c r="H187" i="5"/>
  <c r="I187" i="5"/>
  <c r="J187" i="5"/>
  <c r="K187" i="5"/>
  <c r="C188" i="5"/>
  <c r="D188" i="5"/>
  <c r="E188" i="5"/>
  <c r="F188" i="5"/>
  <c r="G188" i="5"/>
  <c r="H188" i="5"/>
  <c r="I188" i="5"/>
  <c r="J188" i="5"/>
  <c r="K188" i="5"/>
  <c r="C189" i="5"/>
  <c r="D189" i="5"/>
  <c r="E189" i="5"/>
  <c r="F189" i="5"/>
  <c r="G189" i="5"/>
  <c r="H189" i="5"/>
  <c r="I189" i="5"/>
  <c r="J189" i="5"/>
  <c r="K189" i="5"/>
  <c r="C190" i="5"/>
  <c r="D190" i="5"/>
  <c r="E190" i="5"/>
  <c r="F190" i="5"/>
  <c r="G190" i="5"/>
  <c r="H190" i="5"/>
  <c r="I190" i="5"/>
  <c r="J190" i="5"/>
  <c r="K190" i="5"/>
  <c r="C191" i="5"/>
  <c r="D191" i="5"/>
  <c r="E191" i="5"/>
  <c r="F191" i="5"/>
  <c r="G191" i="5"/>
  <c r="H191" i="5"/>
  <c r="I191" i="5"/>
  <c r="J191" i="5"/>
  <c r="K191" i="5"/>
  <c r="C192" i="5"/>
  <c r="D192" i="5"/>
  <c r="E192" i="5"/>
  <c r="F192" i="5"/>
  <c r="G192" i="5"/>
  <c r="H192" i="5"/>
  <c r="I192" i="5"/>
  <c r="J192" i="5"/>
  <c r="K192" i="5"/>
  <c r="C193" i="5"/>
  <c r="D193" i="5"/>
  <c r="E193" i="5"/>
  <c r="F193" i="5"/>
  <c r="G193" i="5"/>
  <c r="H193" i="5"/>
  <c r="I193" i="5"/>
  <c r="J193" i="5"/>
  <c r="K193" i="5"/>
  <c r="E41" i="6"/>
  <c r="D41" i="6"/>
  <c r="C41" i="6"/>
  <c r="C174" i="5"/>
  <c r="D174" i="5"/>
  <c r="E174" i="5"/>
  <c r="F174" i="5"/>
  <c r="G174" i="5"/>
  <c r="H174" i="5"/>
  <c r="I174" i="5"/>
  <c r="J174" i="5"/>
  <c r="K174" i="5"/>
  <c r="C175" i="5"/>
  <c r="D175" i="5"/>
  <c r="E175" i="5"/>
  <c r="F175" i="5"/>
  <c r="G175" i="5"/>
  <c r="H175" i="5"/>
  <c r="I175" i="5"/>
  <c r="J175" i="5"/>
  <c r="K175" i="5"/>
  <c r="C176" i="5"/>
  <c r="D176" i="5"/>
  <c r="E176" i="5"/>
  <c r="F176" i="5"/>
  <c r="G176" i="5"/>
  <c r="H176" i="5"/>
  <c r="I176" i="5"/>
  <c r="J176" i="5"/>
  <c r="K176" i="5"/>
  <c r="C177" i="5"/>
  <c r="D177" i="5"/>
  <c r="E177" i="5"/>
  <c r="F177" i="5"/>
  <c r="G177" i="5"/>
  <c r="H177" i="5"/>
  <c r="I177" i="5"/>
  <c r="J177" i="5"/>
  <c r="K177" i="5"/>
  <c r="C178" i="5"/>
  <c r="D178" i="5"/>
  <c r="E178" i="5"/>
  <c r="F178" i="5"/>
  <c r="G178" i="5"/>
  <c r="H178" i="5"/>
  <c r="I178" i="5"/>
  <c r="J178" i="5"/>
  <c r="K178" i="5"/>
  <c r="C179" i="5"/>
  <c r="D179" i="5"/>
  <c r="E179" i="5"/>
  <c r="F179" i="5"/>
  <c r="G179" i="5"/>
  <c r="H179" i="5"/>
  <c r="I179" i="5"/>
  <c r="J179" i="5"/>
  <c r="K179" i="5"/>
  <c r="C180" i="5"/>
  <c r="D180" i="5"/>
  <c r="E180" i="5"/>
  <c r="F180" i="5"/>
  <c r="G180" i="5"/>
  <c r="H180" i="5"/>
  <c r="I180" i="5"/>
  <c r="J180" i="5"/>
  <c r="K180" i="5"/>
  <c r="C181" i="5"/>
  <c r="D181" i="5"/>
  <c r="E181" i="5"/>
  <c r="F181" i="5"/>
  <c r="G181" i="5"/>
  <c r="H181" i="5"/>
  <c r="I181" i="5"/>
  <c r="J181" i="5"/>
  <c r="K181" i="5"/>
  <c r="C182" i="5"/>
  <c r="D182" i="5"/>
  <c r="E182" i="5"/>
  <c r="F182" i="5"/>
  <c r="G182" i="5"/>
  <c r="H182" i="5"/>
  <c r="I182" i="5"/>
  <c r="J182" i="5"/>
  <c r="K182" i="5"/>
  <c r="C183" i="5"/>
  <c r="D183" i="5"/>
  <c r="E183" i="5"/>
  <c r="F183" i="5"/>
  <c r="G183" i="5"/>
  <c r="H183" i="5"/>
  <c r="I183" i="5"/>
  <c r="J183" i="5"/>
  <c r="K183" i="5"/>
  <c r="E40" i="6"/>
  <c r="D40" i="6"/>
  <c r="C40" i="6"/>
  <c r="C164" i="5"/>
  <c r="D164" i="5"/>
  <c r="E164" i="5"/>
  <c r="F164" i="5"/>
  <c r="G164" i="5"/>
  <c r="H164" i="5"/>
  <c r="I164" i="5"/>
  <c r="J164" i="5"/>
  <c r="K164" i="5"/>
  <c r="C165" i="5"/>
  <c r="D165" i="5"/>
  <c r="E165" i="5"/>
  <c r="F165" i="5"/>
  <c r="G165" i="5"/>
  <c r="H165" i="5"/>
  <c r="I165" i="5"/>
  <c r="J165" i="5"/>
  <c r="K165" i="5"/>
  <c r="C166" i="5"/>
  <c r="D166" i="5"/>
  <c r="E166" i="5"/>
  <c r="F166" i="5"/>
  <c r="G166" i="5"/>
  <c r="H166" i="5"/>
  <c r="I166" i="5"/>
  <c r="J166" i="5"/>
  <c r="K166" i="5"/>
  <c r="C167" i="5"/>
  <c r="D167" i="5"/>
  <c r="E167" i="5"/>
  <c r="F167" i="5"/>
  <c r="G167" i="5"/>
  <c r="H167" i="5"/>
  <c r="I167" i="5"/>
  <c r="J167" i="5"/>
  <c r="K167" i="5"/>
  <c r="C168" i="5"/>
  <c r="D168" i="5"/>
  <c r="E168" i="5"/>
  <c r="F168" i="5"/>
  <c r="G168" i="5"/>
  <c r="H168" i="5"/>
  <c r="I168" i="5"/>
  <c r="J168" i="5"/>
  <c r="K168" i="5"/>
  <c r="C169" i="5"/>
  <c r="D169" i="5"/>
  <c r="E169" i="5"/>
  <c r="F169" i="5"/>
  <c r="G169" i="5"/>
  <c r="H169" i="5"/>
  <c r="I169" i="5"/>
  <c r="J169" i="5"/>
  <c r="K169" i="5"/>
  <c r="C170" i="5"/>
  <c r="D170" i="5"/>
  <c r="E170" i="5"/>
  <c r="F170" i="5"/>
  <c r="G170" i="5"/>
  <c r="H170" i="5"/>
  <c r="I170" i="5"/>
  <c r="J170" i="5"/>
  <c r="K170" i="5"/>
  <c r="C171" i="5"/>
  <c r="D171" i="5"/>
  <c r="E171" i="5"/>
  <c r="F171" i="5"/>
  <c r="G171" i="5"/>
  <c r="H171" i="5"/>
  <c r="I171" i="5"/>
  <c r="J171" i="5"/>
  <c r="K171" i="5"/>
  <c r="C172" i="5"/>
  <c r="D172" i="5"/>
  <c r="E172" i="5"/>
  <c r="F172" i="5"/>
  <c r="G172" i="5"/>
  <c r="H172" i="5"/>
  <c r="I172" i="5"/>
  <c r="J172" i="5"/>
  <c r="K172" i="5"/>
  <c r="C173" i="5"/>
  <c r="D173" i="5"/>
  <c r="E173" i="5"/>
  <c r="F173" i="5"/>
  <c r="G173" i="5"/>
  <c r="H173" i="5"/>
  <c r="I173" i="5"/>
  <c r="J173" i="5"/>
  <c r="K173" i="5"/>
  <c r="E39" i="6"/>
  <c r="D39" i="6"/>
  <c r="C39" i="6"/>
  <c r="C154" i="5"/>
  <c r="D154" i="5"/>
  <c r="E154" i="5"/>
  <c r="F154" i="5"/>
  <c r="G154" i="5"/>
  <c r="H154" i="5"/>
  <c r="I154" i="5"/>
  <c r="J154" i="5"/>
  <c r="K154" i="5"/>
  <c r="C155" i="5"/>
  <c r="D155" i="5"/>
  <c r="E155" i="5"/>
  <c r="F155" i="5"/>
  <c r="G155" i="5"/>
  <c r="H155" i="5"/>
  <c r="I155" i="5"/>
  <c r="J155" i="5"/>
  <c r="K155" i="5"/>
  <c r="C156" i="5"/>
  <c r="D156" i="5"/>
  <c r="E156" i="5"/>
  <c r="F156" i="5"/>
  <c r="G156" i="5"/>
  <c r="H156" i="5"/>
  <c r="I156" i="5"/>
  <c r="J156" i="5"/>
  <c r="K156" i="5"/>
  <c r="C157" i="5"/>
  <c r="D157" i="5"/>
  <c r="E157" i="5"/>
  <c r="F157" i="5"/>
  <c r="G157" i="5"/>
  <c r="H157" i="5"/>
  <c r="I157" i="5"/>
  <c r="J157" i="5"/>
  <c r="K157" i="5"/>
  <c r="C158" i="5"/>
  <c r="D158" i="5"/>
  <c r="E158" i="5"/>
  <c r="F158" i="5"/>
  <c r="G158" i="5"/>
  <c r="H158" i="5"/>
  <c r="I158" i="5"/>
  <c r="J158" i="5"/>
  <c r="K158" i="5"/>
  <c r="C159" i="5"/>
  <c r="D159" i="5"/>
  <c r="E159" i="5"/>
  <c r="F159" i="5"/>
  <c r="G159" i="5"/>
  <c r="H159" i="5"/>
  <c r="I159" i="5"/>
  <c r="J159" i="5"/>
  <c r="K159" i="5"/>
  <c r="C160" i="5"/>
  <c r="D160" i="5"/>
  <c r="E160" i="5"/>
  <c r="F160" i="5"/>
  <c r="G160" i="5"/>
  <c r="H160" i="5"/>
  <c r="I160" i="5"/>
  <c r="J160" i="5"/>
  <c r="K160" i="5"/>
  <c r="C161" i="5"/>
  <c r="D161" i="5"/>
  <c r="E161" i="5"/>
  <c r="F161" i="5"/>
  <c r="G161" i="5"/>
  <c r="H161" i="5"/>
  <c r="I161" i="5"/>
  <c r="J161" i="5"/>
  <c r="K161" i="5"/>
  <c r="C162" i="5"/>
  <c r="D162" i="5"/>
  <c r="E162" i="5"/>
  <c r="F162" i="5"/>
  <c r="G162" i="5"/>
  <c r="H162" i="5"/>
  <c r="I162" i="5"/>
  <c r="J162" i="5"/>
  <c r="K162" i="5"/>
  <c r="C163" i="5"/>
  <c r="D163" i="5"/>
  <c r="E163" i="5"/>
  <c r="F163" i="5"/>
  <c r="G163" i="5"/>
  <c r="H163" i="5"/>
  <c r="I163" i="5"/>
  <c r="J163" i="5"/>
  <c r="K163" i="5"/>
  <c r="E38" i="6"/>
  <c r="D38" i="6"/>
  <c r="C38" i="6"/>
  <c r="C144" i="5"/>
  <c r="D144" i="5"/>
  <c r="E144" i="5"/>
  <c r="F144" i="5"/>
  <c r="G144" i="5"/>
  <c r="H144" i="5"/>
  <c r="I144" i="5"/>
  <c r="J144" i="5"/>
  <c r="K144" i="5"/>
  <c r="C145" i="5"/>
  <c r="D145" i="5"/>
  <c r="E145" i="5"/>
  <c r="F145" i="5"/>
  <c r="G145" i="5"/>
  <c r="H145" i="5"/>
  <c r="I145" i="5"/>
  <c r="J145" i="5"/>
  <c r="K145" i="5"/>
  <c r="C146" i="5"/>
  <c r="D146" i="5"/>
  <c r="E146" i="5"/>
  <c r="F146" i="5"/>
  <c r="G146" i="5"/>
  <c r="H146" i="5"/>
  <c r="I146" i="5"/>
  <c r="J146" i="5"/>
  <c r="K146" i="5"/>
  <c r="C147" i="5"/>
  <c r="D147" i="5"/>
  <c r="E147" i="5"/>
  <c r="F147" i="5"/>
  <c r="G147" i="5"/>
  <c r="H147" i="5"/>
  <c r="I147" i="5"/>
  <c r="J147" i="5"/>
  <c r="K147" i="5"/>
  <c r="C148" i="5"/>
  <c r="D148" i="5"/>
  <c r="E148" i="5"/>
  <c r="F148" i="5"/>
  <c r="G148" i="5"/>
  <c r="H148" i="5"/>
  <c r="I148" i="5"/>
  <c r="J148" i="5"/>
  <c r="K148" i="5"/>
  <c r="C149" i="5"/>
  <c r="D149" i="5"/>
  <c r="E149" i="5"/>
  <c r="F149" i="5"/>
  <c r="G149" i="5"/>
  <c r="H149" i="5"/>
  <c r="I149" i="5"/>
  <c r="J149" i="5"/>
  <c r="K149" i="5"/>
  <c r="C150" i="5"/>
  <c r="D150" i="5"/>
  <c r="E150" i="5"/>
  <c r="F150" i="5"/>
  <c r="G150" i="5"/>
  <c r="H150" i="5"/>
  <c r="I150" i="5"/>
  <c r="J150" i="5"/>
  <c r="K150" i="5"/>
  <c r="C151" i="5"/>
  <c r="D151" i="5"/>
  <c r="E151" i="5"/>
  <c r="F151" i="5"/>
  <c r="G151" i="5"/>
  <c r="H151" i="5"/>
  <c r="I151" i="5"/>
  <c r="J151" i="5"/>
  <c r="K151" i="5"/>
  <c r="C152" i="5"/>
  <c r="D152" i="5"/>
  <c r="E152" i="5"/>
  <c r="F152" i="5"/>
  <c r="G152" i="5"/>
  <c r="H152" i="5"/>
  <c r="I152" i="5"/>
  <c r="J152" i="5"/>
  <c r="K152" i="5"/>
  <c r="C153" i="5"/>
  <c r="D153" i="5"/>
  <c r="E153" i="5"/>
  <c r="F153" i="5"/>
  <c r="G153" i="5"/>
  <c r="H153" i="5"/>
  <c r="I153" i="5"/>
  <c r="J153" i="5"/>
  <c r="K153" i="5"/>
  <c r="E37" i="6"/>
  <c r="D37" i="6"/>
  <c r="C37" i="6"/>
  <c r="C134" i="5"/>
  <c r="D134" i="5"/>
  <c r="E134" i="5"/>
  <c r="F134" i="5"/>
  <c r="G134" i="5"/>
  <c r="H134" i="5"/>
  <c r="I134" i="5"/>
  <c r="J134" i="5"/>
  <c r="K134" i="5"/>
  <c r="C135" i="5"/>
  <c r="D135" i="5"/>
  <c r="E135" i="5"/>
  <c r="F135" i="5"/>
  <c r="G135" i="5"/>
  <c r="H135" i="5"/>
  <c r="I135" i="5"/>
  <c r="J135" i="5"/>
  <c r="K135" i="5"/>
  <c r="C136" i="5"/>
  <c r="D136" i="5"/>
  <c r="E136" i="5"/>
  <c r="F136" i="5"/>
  <c r="G136" i="5"/>
  <c r="H136" i="5"/>
  <c r="I136" i="5"/>
  <c r="J136" i="5"/>
  <c r="K136" i="5"/>
  <c r="C137" i="5"/>
  <c r="D137" i="5"/>
  <c r="E137" i="5"/>
  <c r="F137" i="5"/>
  <c r="G137" i="5"/>
  <c r="H137" i="5"/>
  <c r="I137" i="5"/>
  <c r="J137" i="5"/>
  <c r="K137" i="5"/>
  <c r="C138" i="5"/>
  <c r="D138" i="5"/>
  <c r="E138" i="5"/>
  <c r="F138" i="5"/>
  <c r="G138" i="5"/>
  <c r="H138" i="5"/>
  <c r="I138" i="5"/>
  <c r="J138" i="5"/>
  <c r="K138" i="5"/>
  <c r="C139" i="5"/>
  <c r="D139" i="5"/>
  <c r="E139" i="5"/>
  <c r="F139" i="5"/>
  <c r="G139" i="5"/>
  <c r="H139" i="5"/>
  <c r="I139" i="5"/>
  <c r="J139" i="5"/>
  <c r="K139" i="5"/>
  <c r="C140" i="5"/>
  <c r="D140" i="5"/>
  <c r="E140" i="5"/>
  <c r="F140" i="5"/>
  <c r="G140" i="5"/>
  <c r="H140" i="5"/>
  <c r="I140" i="5"/>
  <c r="J140" i="5"/>
  <c r="K140" i="5"/>
  <c r="C141" i="5"/>
  <c r="D141" i="5"/>
  <c r="E141" i="5"/>
  <c r="F141" i="5"/>
  <c r="G141" i="5"/>
  <c r="H141" i="5"/>
  <c r="I141" i="5"/>
  <c r="J141" i="5"/>
  <c r="K141" i="5"/>
  <c r="C142" i="5"/>
  <c r="D142" i="5"/>
  <c r="E142" i="5"/>
  <c r="F142" i="5"/>
  <c r="G142" i="5"/>
  <c r="H142" i="5"/>
  <c r="I142" i="5"/>
  <c r="J142" i="5"/>
  <c r="K142" i="5"/>
  <c r="C143" i="5"/>
  <c r="D143" i="5"/>
  <c r="E143" i="5"/>
  <c r="F143" i="5"/>
  <c r="G143" i="5"/>
  <c r="H143" i="5"/>
  <c r="I143" i="5"/>
  <c r="J143" i="5"/>
  <c r="K143" i="5"/>
  <c r="E36" i="6"/>
  <c r="D36" i="6"/>
  <c r="C36" i="6"/>
  <c r="C124" i="5"/>
  <c r="D124" i="5"/>
  <c r="E124" i="5"/>
  <c r="F124" i="5"/>
  <c r="G124" i="5"/>
  <c r="H124" i="5"/>
  <c r="I124" i="5"/>
  <c r="J124" i="5"/>
  <c r="K124" i="5"/>
  <c r="C125" i="5"/>
  <c r="D125" i="5"/>
  <c r="E125" i="5"/>
  <c r="F125" i="5"/>
  <c r="G125" i="5"/>
  <c r="H125" i="5"/>
  <c r="I125" i="5"/>
  <c r="J125" i="5"/>
  <c r="K125" i="5"/>
  <c r="C126" i="5"/>
  <c r="D126" i="5"/>
  <c r="E126" i="5"/>
  <c r="F126" i="5"/>
  <c r="G126" i="5"/>
  <c r="H126" i="5"/>
  <c r="I126" i="5"/>
  <c r="J126" i="5"/>
  <c r="K126" i="5"/>
  <c r="C127" i="5"/>
  <c r="D127" i="5"/>
  <c r="E127" i="5"/>
  <c r="F127" i="5"/>
  <c r="G127" i="5"/>
  <c r="H127" i="5"/>
  <c r="I127" i="5"/>
  <c r="J127" i="5"/>
  <c r="K127" i="5"/>
  <c r="C128" i="5"/>
  <c r="D128" i="5"/>
  <c r="E128" i="5"/>
  <c r="F128" i="5"/>
  <c r="G128" i="5"/>
  <c r="H128" i="5"/>
  <c r="I128" i="5"/>
  <c r="J128" i="5"/>
  <c r="K128" i="5"/>
  <c r="C129" i="5"/>
  <c r="D129" i="5"/>
  <c r="E129" i="5"/>
  <c r="F129" i="5"/>
  <c r="G129" i="5"/>
  <c r="H129" i="5"/>
  <c r="I129" i="5"/>
  <c r="J129" i="5"/>
  <c r="K129" i="5"/>
  <c r="C130" i="5"/>
  <c r="D130" i="5"/>
  <c r="E130" i="5"/>
  <c r="F130" i="5"/>
  <c r="G130" i="5"/>
  <c r="H130" i="5"/>
  <c r="I130" i="5"/>
  <c r="J130" i="5"/>
  <c r="K130" i="5"/>
  <c r="C131" i="5"/>
  <c r="D131" i="5"/>
  <c r="E131" i="5"/>
  <c r="F131" i="5"/>
  <c r="G131" i="5"/>
  <c r="H131" i="5"/>
  <c r="I131" i="5"/>
  <c r="J131" i="5"/>
  <c r="K131" i="5"/>
  <c r="C132" i="5"/>
  <c r="D132" i="5"/>
  <c r="E132" i="5"/>
  <c r="F132" i="5"/>
  <c r="G132" i="5"/>
  <c r="H132" i="5"/>
  <c r="I132" i="5"/>
  <c r="J132" i="5"/>
  <c r="K132" i="5"/>
  <c r="C133" i="5"/>
  <c r="D133" i="5"/>
  <c r="E133" i="5"/>
  <c r="F133" i="5"/>
  <c r="G133" i="5"/>
  <c r="H133" i="5"/>
  <c r="I133" i="5"/>
  <c r="J133" i="5"/>
  <c r="K133" i="5"/>
  <c r="E35" i="6"/>
  <c r="D35" i="6"/>
  <c r="C35" i="6"/>
  <c r="C114" i="5"/>
  <c r="D114" i="5"/>
  <c r="E114" i="5"/>
  <c r="F114" i="5"/>
  <c r="G114" i="5"/>
  <c r="H114" i="5"/>
  <c r="I114" i="5"/>
  <c r="J114" i="5"/>
  <c r="K114" i="5"/>
  <c r="C115" i="5"/>
  <c r="D115" i="5"/>
  <c r="E115" i="5"/>
  <c r="F115" i="5"/>
  <c r="G115" i="5"/>
  <c r="H115" i="5"/>
  <c r="I115" i="5"/>
  <c r="J115" i="5"/>
  <c r="K115" i="5"/>
  <c r="C116" i="5"/>
  <c r="D116" i="5"/>
  <c r="E116" i="5"/>
  <c r="F116" i="5"/>
  <c r="G116" i="5"/>
  <c r="H116" i="5"/>
  <c r="I116" i="5"/>
  <c r="J116" i="5"/>
  <c r="K116" i="5"/>
  <c r="C117" i="5"/>
  <c r="D117" i="5"/>
  <c r="E117" i="5"/>
  <c r="F117" i="5"/>
  <c r="G117" i="5"/>
  <c r="H117" i="5"/>
  <c r="I117" i="5"/>
  <c r="J117" i="5"/>
  <c r="K117" i="5"/>
  <c r="C118" i="5"/>
  <c r="D118" i="5"/>
  <c r="E118" i="5"/>
  <c r="F118" i="5"/>
  <c r="G118" i="5"/>
  <c r="H118" i="5"/>
  <c r="I118" i="5"/>
  <c r="J118" i="5"/>
  <c r="K118" i="5"/>
  <c r="C119" i="5"/>
  <c r="D119" i="5"/>
  <c r="E119" i="5"/>
  <c r="F119" i="5"/>
  <c r="G119" i="5"/>
  <c r="H119" i="5"/>
  <c r="I119" i="5"/>
  <c r="J119" i="5"/>
  <c r="K119" i="5"/>
  <c r="C120" i="5"/>
  <c r="D120" i="5"/>
  <c r="E120" i="5"/>
  <c r="F120" i="5"/>
  <c r="G120" i="5"/>
  <c r="H120" i="5"/>
  <c r="I120" i="5"/>
  <c r="J120" i="5"/>
  <c r="K120" i="5"/>
  <c r="C121" i="5"/>
  <c r="D121" i="5"/>
  <c r="E121" i="5"/>
  <c r="F121" i="5"/>
  <c r="G121" i="5"/>
  <c r="H121" i="5"/>
  <c r="I121" i="5"/>
  <c r="J121" i="5"/>
  <c r="K121" i="5"/>
  <c r="C122" i="5"/>
  <c r="D122" i="5"/>
  <c r="E122" i="5"/>
  <c r="F122" i="5"/>
  <c r="G122" i="5"/>
  <c r="H122" i="5"/>
  <c r="I122" i="5"/>
  <c r="J122" i="5"/>
  <c r="K122" i="5"/>
  <c r="C123" i="5"/>
  <c r="D123" i="5"/>
  <c r="E123" i="5"/>
  <c r="F123" i="5"/>
  <c r="G123" i="5"/>
  <c r="H123" i="5"/>
  <c r="I123" i="5"/>
  <c r="J123" i="5"/>
  <c r="K123" i="5"/>
  <c r="E34" i="6"/>
  <c r="D34" i="6"/>
  <c r="C34" i="6"/>
  <c r="C104" i="5"/>
  <c r="D104" i="5"/>
  <c r="E104" i="5"/>
  <c r="F104" i="5"/>
  <c r="G104" i="5"/>
  <c r="H104" i="5"/>
  <c r="I104" i="5"/>
  <c r="J104" i="5"/>
  <c r="K104" i="5"/>
  <c r="C105" i="5"/>
  <c r="D105" i="5"/>
  <c r="E105" i="5"/>
  <c r="F105" i="5"/>
  <c r="G105" i="5"/>
  <c r="H105" i="5"/>
  <c r="I105" i="5"/>
  <c r="J105" i="5"/>
  <c r="K105" i="5"/>
  <c r="C106" i="5"/>
  <c r="D106" i="5"/>
  <c r="E106" i="5"/>
  <c r="F106" i="5"/>
  <c r="G106" i="5"/>
  <c r="H106" i="5"/>
  <c r="I106" i="5"/>
  <c r="J106" i="5"/>
  <c r="K106" i="5"/>
  <c r="C107" i="5"/>
  <c r="D107" i="5"/>
  <c r="E107" i="5"/>
  <c r="F107" i="5"/>
  <c r="G107" i="5"/>
  <c r="H107" i="5"/>
  <c r="I107" i="5"/>
  <c r="J107" i="5"/>
  <c r="K107" i="5"/>
  <c r="C108" i="5"/>
  <c r="D108" i="5"/>
  <c r="E108" i="5"/>
  <c r="F108" i="5"/>
  <c r="G108" i="5"/>
  <c r="H108" i="5"/>
  <c r="I108" i="5"/>
  <c r="J108" i="5"/>
  <c r="K108" i="5"/>
  <c r="C109" i="5"/>
  <c r="D109" i="5"/>
  <c r="E109" i="5"/>
  <c r="F109" i="5"/>
  <c r="G109" i="5"/>
  <c r="H109" i="5"/>
  <c r="I109" i="5"/>
  <c r="J109" i="5"/>
  <c r="K109" i="5"/>
  <c r="C110" i="5"/>
  <c r="D110" i="5"/>
  <c r="E110" i="5"/>
  <c r="F110" i="5"/>
  <c r="G110" i="5"/>
  <c r="H110" i="5"/>
  <c r="I110" i="5"/>
  <c r="J110" i="5"/>
  <c r="K110" i="5"/>
  <c r="C111" i="5"/>
  <c r="D111" i="5"/>
  <c r="E111" i="5"/>
  <c r="F111" i="5"/>
  <c r="G111" i="5"/>
  <c r="H111" i="5"/>
  <c r="I111" i="5"/>
  <c r="J111" i="5"/>
  <c r="K111" i="5"/>
  <c r="C112" i="5"/>
  <c r="D112" i="5"/>
  <c r="E112" i="5"/>
  <c r="F112" i="5"/>
  <c r="G112" i="5"/>
  <c r="H112" i="5"/>
  <c r="I112" i="5"/>
  <c r="J112" i="5"/>
  <c r="K112" i="5"/>
  <c r="C113" i="5"/>
  <c r="D113" i="5"/>
  <c r="E113" i="5"/>
  <c r="F113" i="5"/>
  <c r="G113" i="5"/>
  <c r="H113" i="5"/>
  <c r="I113" i="5"/>
  <c r="J113" i="5"/>
  <c r="K113" i="5"/>
  <c r="E33" i="6"/>
  <c r="D33" i="6"/>
  <c r="C33" i="6"/>
  <c r="C94" i="5"/>
  <c r="D94" i="5"/>
  <c r="E94" i="5"/>
  <c r="F94" i="5"/>
  <c r="G94" i="5"/>
  <c r="H94" i="5"/>
  <c r="I94" i="5"/>
  <c r="J94" i="5"/>
  <c r="K94" i="5"/>
  <c r="C95" i="5"/>
  <c r="D95" i="5"/>
  <c r="E95" i="5"/>
  <c r="F95" i="5"/>
  <c r="G95" i="5"/>
  <c r="H95" i="5"/>
  <c r="I95" i="5"/>
  <c r="J95" i="5"/>
  <c r="K95" i="5"/>
  <c r="C96" i="5"/>
  <c r="D96" i="5"/>
  <c r="E96" i="5"/>
  <c r="F96" i="5"/>
  <c r="G96" i="5"/>
  <c r="H96" i="5"/>
  <c r="I96" i="5"/>
  <c r="J96" i="5"/>
  <c r="K96" i="5"/>
  <c r="C97" i="5"/>
  <c r="D97" i="5"/>
  <c r="E97" i="5"/>
  <c r="F97" i="5"/>
  <c r="G97" i="5"/>
  <c r="H97" i="5"/>
  <c r="I97" i="5"/>
  <c r="J97" i="5"/>
  <c r="K97" i="5"/>
  <c r="C98" i="5"/>
  <c r="D98" i="5"/>
  <c r="E98" i="5"/>
  <c r="F98" i="5"/>
  <c r="G98" i="5"/>
  <c r="H98" i="5"/>
  <c r="I98" i="5"/>
  <c r="J98" i="5"/>
  <c r="K98" i="5"/>
  <c r="C99" i="5"/>
  <c r="D99" i="5"/>
  <c r="E99" i="5"/>
  <c r="F99" i="5"/>
  <c r="G99" i="5"/>
  <c r="H99" i="5"/>
  <c r="I99" i="5"/>
  <c r="J99" i="5"/>
  <c r="K99" i="5"/>
  <c r="C100" i="5"/>
  <c r="D100" i="5"/>
  <c r="E100" i="5"/>
  <c r="F100" i="5"/>
  <c r="G100" i="5"/>
  <c r="H100" i="5"/>
  <c r="I100" i="5"/>
  <c r="J100" i="5"/>
  <c r="K100" i="5"/>
  <c r="C101" i="5"/>
  <c r="D101" i="5"/>
  <c r="E101" i="5"/>
  <c r="F101" i="5"/>
  <c r="G101" i="5"/>
  <c r="H101" i="5"/>
  <c r="I101" i="5"/>
  <c r="J101" i="5"/>
  <c r="K101" i="5"/>
  <c r="C102" i="5"/>
  <c r="D102" i="5"/>
  <c r="E102" i="5"/>
  <c r="F102" i="5"/>
  <c r="G102" i="5"/>
  <c r="H102" i="5"/>
  <c r="I102" i="5"/>
  <c r="J102" i="5"/>
  <c r="K102" i="5"/>
  <c r="C103" i="5"/>
  <c r="D103" i="5"/>
  <c r="E103" i="5"/>
  <c r="F103" i="5"/>
  <c r="G103" i="5"/>
  <c r="H103" i="5"/>
  <c r="I103" i="5"/>
  <c r="J103" i="5"/>
  <c r="K103" i="5"/>
  <c r="E32" i="6"/>
  <c r="D32" i="6"/>
  <c r="C32" i="6"/>
  <c r="C84" i="5"/>
  <c r="D84" i="5"/>
  <c r="E84" i="5"/>
  <c r="F84" i="5"/>
  <c r="G84" i="5"/>
  <c r="H84" i="5"/>
  <c r="I84" i="5"/>
  <c r="J84" i="5"/>
  <c r="K84" i="5"/>
  <c r="C85" i="5"/>
  <c r="D85" i="5"/>
  <c r="E85" i="5"/>
  <c r="F85" i="5"/>
  <c r="G85" i="5"/>
  <c r="H85" i="5"/>
  <c r="I85" i="5"/>
  <c r="J85" i="5"/>
  <c r="K85" i="5"/>
  <c r="C86" i="5"/>
  <c r="D86" i="5"/>
  <c r="E86" i="5"/>
  <c r="F86" i="5"/>
  <c r="G86" i="5"/>
  <c r="H86" i="5"/>
  <c r="I86" i="5"/>
  <c r="J86" i="5"/>
  <c r="K86" i="5"/>
  <c r="C87" i="5"/>
  <c r="D87" i="5"/>
  <c r="E87" i="5"/>
  <c r="F87" i="5"/>
  <c r="G87" i="5"/>
  <c r="H87" i="5"/>
  <c r="I87" i="5"/>
  <c r="J87" i="5"/>
  <c r="K87" i="5"/>
  <c r="C88" i="5"/>
  <c r="D88" i="5"/>
  <c r="E88" i="5"/>
  <c r="F88" i="5"/>
  <c r="G88" i="5"/>
  <c r="H88" i="5"/>
  <c r="I88" i="5"/>
  <c r="J88" i="5"/>
  <c r="K88" i="5"/>
  <c r="C89" i="5"/>
  <c r="D89" i="5"/>
  <c r="E89" i="5"/>
  <c r="F89" i="5"/>
  <c r="G89" i="5"/>
  <c r="H89" i="5"/>
  <c r="I89" i="5"/>
  <c r="J89" i="5"/>
  <c r="K89" i="5"/>
  <c r="C90" i="5"/>
  <c r="D90" i="5"/>
  <c r="E90" i="5"/>
  <c r="F90" i="5"/>
  <c r="G90" i="5"/>
  <c r="H90" i="5"/>
  <c r="I90" i="5"/>
  <c r="J90" i="5"/>
  <c r="K90" i="5"/>
  <c r="C91" i="5"/>
  <c r="D91" i="5"/>
  <c r="E91" i="5"/>
  <c r="F91" i="5"/>
  <c r="G91" i="5"/>
  <c r="H91" i="5"/>
  <c r="I91" i="5"/>
  <c r="J91" i="5"/>
  <c r="K91" i="5"/>
  <c r="C92" i="5"/>
  <c r="D92" i="5"/>
  <c r="E92" i="5"/>
  <c r="F92" i="5"/>
  <c r="G92" i="5"/>
  <c r="H92" i="5"/>
  <c r="I92" i="5"/>
  <c r="J92" i="5"/>
  <c r="K92" i="5"/>
  <c r="C93" i="5"/>
  <c r="D93" i="5"/>
  <c r="E93" i="5"/>
  <c r="F93" i="5"/>
  <c r="G93" i="5"/>
  <c r="H93" i="5"/>
  <c r="I93" i="5"/>
  <c r="J93" i="5"/>
  <c r="K93" i="5"/>
  <c r="E31" i="6"/>
  <c r="D31" i="6"/>
  <c r="C31" i="6"/>
  <c r="C74" i="5"/>
  <c r="D74" i="5"/>
  <c r="E74" i="5"/>
  <c r="F74" i="5"/>
  <c r="G74" i="5"/>
  <c r="H74" i="5"/>
  <c r="I74" i="5"/>
  <c r="J74" i="5"/>
  <c r="K74" i="5"/>
  <c r="C75" i="5"/>
  <c r="D75" i="5"/>
  <c r="E75" i="5"/>
  <c r="F75" i="5"/>
  <c r="G75" i="5"/>
  <c r="H75" i="5"/>
  <c r="I75" i="5"/>
  <c r="J75" i="5"/>
  <c r="K75" i="5"/>
  <c r="C76" i="5"/>
  <c r="D76" i="5"/>
  <c r="E76" i="5"/>
  <c r="F76" i="5"/>
  <c r="G76" i="5"/>
  <c r="H76" i="5"/>
  <c r="I76" i="5"/>
  <c r="J76" i="5"/>
  <c r="K76" i="5"/>
  <c r="C77" i="5"/>
  <c r="D77" i="5"/>
  <c r="E77" i="5"/>
  <c r="F77" i="5"/>
  <c r="G77" i="5"/>
  <c r="H77" i="5"/>
  <c r="I77" i="5"/>
  <c r="J77" i="5"/>
  <c r="K77" i="5"/>
  <c r="C78" i="5"/>
  <c r="D78" i="5"/>
  <c r="E78" i="5"/>
  <c r="F78" i="5"/>
  <c r="G78" i="5"/>
  <c r="H78" i="5"/>
  <c r="I78" i="5"/>
  <c r="J78" i="5"/>
  <c r="K78" i="5"/>
  <c r="C79" i="5"/>
  <c r="D79" i="5"/>
  <c r="E79" i="5"/>
  <c r="F79" i="5"/>
  <c r="G79" i="5"/>
  <c r="H79" i="5"/>
  <c r="I79" i="5"/>
  <c r="J79" i="5"/>
  <c r="K79" i="5"/>
  <c r="C80" i="5"/>
  <c r="D80" i="5"/>
  <c r="E80" i="5"/>
  <c r="F80" i="5"/>
  <c r="G80" i="5"/>
  <c r="H80" i="5"/>
  <c r="I80" i="5"/>
  <c r="J80" i="5"/>
  <c r="K80" i="5"/>
  <c r="C81" i="5"/>
  <c r="D81" i="5"/>
  <c r="E81" i="5"/>
  <c r="F81" i="5"/>
  <c r="G81" i="5"/>
  <c r="H81" i="5"/>
  <c r="I81" i="5"/>
  <c r="J81" i="5"/>
  <c r="K81" i="5"/>
  <c r="C82" i="5"/>
  <c r="D82" i="5"/>
  <c r="E82" i="5"/>
  <c r="F82" i="5"/>
  <c r="G82" i="5"/>
  <c r="H82" i="5"/>
  <c r="I82" i="5"/>
  <c r="J82" i="5"/>
  <c r="K82" i="5"/>
  <c r="C83" i="5"/>
  <c r="D83" i="5"/>
  <c r="E83" i="5"/>
  <c r="F83" i="5"/>
  <c r="G83" i="5"/>
  <c r="H83" i="5"/>
  <c r="I83" i="5"/>
  <c r="J83" i="5"/>
  <c r="K83" i="5"/>
  <c r="E30" i="6"/>
  <c r="D30" i="6"/>
  <c r="C30" i="6"/>
  <c r="C64" i="5"/>
  <c r="D64" i="5"/>
  <c r="E64" i="5"/>
  <c r="F64" i="5"/>
  <c r="G64" i="5"/>
  <c r="H64" i="5"/>
  <c r="I64" i="5"/>
  <c r="J64" i="5"/>
  <c r="K64" i="5"/>
  <c r="C65" i="5"/>
  <c r="D65" i="5"/>
  <c r="E65" i="5"/>
  <c r="F65" i="5"/>
  <c r="G65" i="5"/>
  <c r="H65" i="5"/>
  <c r="I65" i="5"/>
  <c r="J65" i="5"/>
  <c r="K65" i="5"/>
  <c r="C66" i="5"/>
  <c r="D66" i="5"/>
  <c r="E66" i="5"/>
  <c r="F66" i="5"/>
  <c r="G66" i="5"/>
  <c r="H66" i="5"/>
  <c r="I66" i="5"/>
  <c r="J66" i="5"/>
  <c r="K66" i="5"/>
  <c r="C67" i="5"/>
  <c r="D67" i="5"/>
  <c r="E67" i="5"/>
  <c r="F67" i="5"/>
  <c r="G67" i="5"/>
  <c r="H67" i="5"/>
  <c r="I67" i="5"/>
  <c r="J67" i="5"/>
  <c r="K67" i="5"/>
  <c r="C68" i="5"/>
  <c r="D68" i="5"/>
  <c r="E68" i="5"/>
  <c r="F68" i="5"/>
  <c r="G68" i="5"/>
  <c r="H68" i="5"/>
  <c r="I68" i="5"/>
  <c r="J68" i="5"/>
  <c r="K68" i="5"/>
  <c r="C69" i="5"/>
  <c r="D69" i="5"/>
  <c r="E69" i="5"/>
  <c r="F69" i="5"/>
  <c r="G69" i="5"/>
  <c r="H69" i="5"/>
  <c r="I69" i="5"/>
  <c r="J69" i="5"/>
  <c r="K69" i="5"/>
  <c r="C70" i="5"/>
  <c r="D70" i="5"/>
  <c r="E70" i="5"/>
  <c r="F70" i="5"/>
  <c r="G70" i="5"/>
  <c r="H70" i="5"/>
  <c r="I70" i="5"/>
  <c r="J70" i="5"/>
  <c r="K70" i="5"/>
  <c r="C71" i="5"/>
  <c r="D71" i="5"/>
  <c r="E71" i="5"/>
  <c r="F71" i="5"/>
  <c r="G71" i="5"/>
  <c r="H71" i="5"/>
  <c r="I71" i="5"/>
  <c r="J71" i="5"/>
  <c r="K71" i="5"/>
  <c r="C72" i="5"/>
  <c r="D72" i="5"/>
  <c r="E72" i="5"/>
  <c r="F72" i="5"/>
  <c r="G72" i="5"/>
  <c r="H72" i="5"/>
  <c r="I72" i="5"/>
  <c r="J72" i="5"/>
  <c r="K72" i="5"/>
  <c r="C73" i="5"/>
  <c r="D73" i="5"/>
  <c r="E73" i="5"/>
  <c r="F73" i="5"/>
  <c r="G73" i="5"/>
  <c r="H73" i="5"/>
  <c r="I73" i="5"/>
  <c r="J73" i="5"/>
  <c r="K73" i="5"/>
  <c r="E29" i="6"/>
  <c r="D29" i="6"/>
  <c r="C29" i="6"/>
  <c r="C54" i="5"/>
  <c r="D54" i="5"/>
  <c r="E54" i="5"/>
  <c r="F54" i="5"/>
  <c r="G54" i="5"/>
  <c r="H54" i="5"/>
  <c r="I54" i="5"/>
  <c r="J54" i="5"/>
  <c r="K54" i="5"/>
  <c r="C55" i="5"/>
  <c r="D55" i="5"/>
  <c r="E55" i="5"/>
  <c r="F55" i="5"/>
  <c r="G55" i="5"/>
  <c r="H55" i="5"/>
  <c r="I55" i="5"/>
  <c r="J55" i="5"/>
  <c r="K55" i="5"/>
  <c r="C56" i="5"/>
  <c r="D56" i="5"/>
  <c r="E56" i="5"/>
  <c r="F56" i="5"/>
  <c r="G56" i="5"/>
  <c r="H56" i="5"/>
  <c r="I56" i="5"/>
  <c r="J56" i="5"/>
  <c r="K56" i="5"/>
  <c r="C57" i="5"/>
  <c r="D57" i="5"/>
  <c r="E57" i="5"/>
  <c r="F57" i="5"/>
  <c r="G57" i="5"/>
  <c r="H57" i="5"/>
  <c r="I57" i="5"/>
  <c r="J57" i="5"/>
  <c r="K57" i="5"/>
  <c r="C58" i="5"/>
  <c r="D58" i="5"/>
  <c r="E58" i="5"/>
  <c r="F58" i="5"/>
  <c r="G58" i="5"/>
  <c r="H58" i="5"/>
  <c r="I58" i="5"/>
  <c r="J58" i="5"/>
  <c r="K58" i="5"/>
  <c r="C59" i="5"/>
  <c r="D59" i="5"/>
  <c r="E59" i="5"/>
  <c r="F59" i="5"/>
  <c r="G59" i="5"/>
  <c r="H59" i="5"/>
  <c r="I59" i="5"/>
  <c r="J59" i="5"/>
  <c r="K59" i="5"/>
  <c r="C60" i="5"/>
  <c r="D60" i="5"/>
  <c r="E60" i="5"/>
  <c r="F60" i="5"/>
  <c r="G60" i="5"/>
  <c r="H60" i="5"/>
  <c r="I60" i="5"/>
  <c r="J60" i="5"/>
  <c r="K60" i="5"/>
  <c r="C61" i="5"/>
  <c r="D61" i="5"/>
  <c r="E61" i="5"/>
  <c r="F61" i="5"/>
  <c r="G61" i="5"/>
  <c r="H61" i="5"/>
  <c r="I61" i="5"/>
  <c r="J61" i="5"/>
  <c r="K61" i="5"/>
  <c r="C62" i="5"/>
  <c r="D62" i="5"/>
  <c r="E62" i="5"/>
  <c r="F62" i="5"/>
  <c r="G62" i="5"/>
  <c r="H62" i="5"/>
  <c r="I62" i="5"/>
  <c r="J62" i="5"/>
  <c r="K62" i="5"/>
  <c r="C63" i="5"/>
  <c r="D63" i="5"/>
  <c r="E63" i="5"/>
  <c r="F63" i="5"/>
  <c r="G63" i="5"/>
  <c r="H63" i="5"/>
  <c r="I63" i="5"/>
  <c r="J63" i="5"/>
  <c r="K63" i="5"/>
  <c r="E28" i="6"/>
  <c r="D28" i="6"/>
  <c r="C28" i="6"/>
  <c r="C44" i="5"/>
  <c r="D44" i="5"/>
  <c r="E44" i="5"/>
  <c r="F44" i="5"/>
  <c r="G44" i="5"/>
  <c r="H44" i="5"/>
  <c r="I44" i="5"/>
  <c r="J44" i="5"/>
  <c r="K44" i="5"/>
  <c r="C45" i="5"/>
  <c r="D45" i="5"/>
  <c r="E45" i="5"/>
  <c r="F45" i="5"/>
  <c r="G45" i="5"/>
  <c r="H45" i="5"/>
  <c r="I45" i="5"/>
  <c r="J45" i="5"/>
  <c r="K45" i="5"/>
  <c r="C46" i="5"/>
  <c r="D46" i="5"/>
  <c r="E46" i="5"/>
  <c r="F46" i="5"/>
  <c r="G46" i="5"/>
  <c r="H46" i="5"/>
  <c r="I46" i="5"/>
  <c r="J46" i="5"/>
  <c r="K46" i="5"/>
  <c r="C47" i="5"/>
  <c r="D47" i="5"/>
  <c r="E47" i="5"/>
  <c r="F47" i="5"/>
  <c r="G47" i="5"/>
  <c r="H47" i="5"/>
  <c r="I47" i="5"/>
  <c r="J47" i="5"/>
  <c r="K47" i="5"/>
  <c r="C48" i="5"/>
  <c r="D48" i="5"/>
  <c r="E48" i="5"/>
  <c r="F48" i="5"/>
  <c r="G48" i="5"/>
  <c r="H48" i="5"/>
  <c r="I48" i="5"/>
  <c r="J48" i="5"/>
  <c r="K48" i="5"/>
  <c r="C49" i="5"/>
  <c r="D49" i="5"/>
  <c r="E49" i="5"/>
  <c r="F49" i="5"/>
  <c r="G49" i="5"/>
  <c r="H49" i="5"/>
  <c r="I49" i="5"/>
  <c r="J49" i="5"/>
  <c r="K49" i="5"/>
  <c r="C50" i="5"/>
  <c r="D50" i="5"/>
  <c r="E50" i="5"/>
  <c r="F50" i="5"/>
  <c r="G50" i="5"/>
  <c r="H50" i="5"/>
  <c r="I50" i="5"/>
  <c r="J50" i="5"/>
  <c r="K50" i="5"/>
  <c r="C51" i="5"/>
  <c r="D51" i="5"/>
  <c r="E51" i="5"/>
  <c r="F51" i="5"/>
  <c r="G51" i="5"/>
  <c r="H51" i="5"/>
  <c r="I51" i="5"/>
  <c r="J51" i="5"/>
  <c r="K51" i="5"/>
  <c r="C52" i="5"/>
  <c r="D52" i="5"/>
  <c r="E52" i="5"/>
  <c r="F52" i="5"/>
  <c r="G52" i="5"/>
  <c r="H52" i="5"/>
  <c r="I52" i="5"/>
  <c r="J52" i="5"/>
  <c r="K52" i="5"/>
  <c r="C53" i="5"/>
  <c r="D53" i="5"/>
  <c r="E53" i="5"/>
  <c r="F53" i="5"/>
  <c r="G53" i="5"/>
  <c r="H53" i="5"/>
  <c r="I53" i="5"/>
  <c r="J53" i="5"/>
  <c r="K53" i="5"/>
  <c r="E27" i="6"/>
  <c r="D27" i="6"/>
  <c r="C27" i="6"/>
  <c r="C34" i="5"/>
  <c r="D34" i="5"/>
  <c r="E34" i="5"/>
  <c r="F34" i="5"/>
  <c r="G34" i="5"/>
  <c r="H34" i="5"/>
  <c r="I34" i="5"/>
  <c r="J34" i="5"/>
  <c r="K34" i="5"/>
  <c r="C35" i="5"/>
  <c r="D35" i="5"/>
  <c r="E35" i="5"/>
  <c r="F35" i="5"/>
  <c r="G35" i="5"/>
  <c r="H35" i="5"/>
  <c r="I35" i="5"/>
  <c r="J35" i="5"/>
  <c r="K35" i="5"/>
  <c r="C36" i="5"/>
  <c r="D36" i="5"/>
  <c r="E36" i="5"/>
  <c r="F36" i="5"/>
  <c r="G36" i="5"/>
  <c r="H36" i="5"/>
  <c r="I36" i="5"/>
  <c r="J36" i="5"/>
  <c r="K36" i="5"/>
  <c r="C37" i="5"/>
  <c r="D37" i="5"/>
  <c r="E37" i="5"/>
  <c r="F37" i="5"/>
  <c r="G37" i="5"/>
  <c r="H37" i="5"/>
  <c r="I37" i="5"/>
  <c r="J37" i="5"/>
  <c r="K37" i="5"/>
  <c r="C38" i="5"/>
  <c r="D38" i="5"/>
  <c r="E38" i="5"/>
  <c r="F38" i="5"/>
  <c r="G38" i="5"/>
  <c r="H38" i="5"/>
  <c r="I38" i="5"/>
  <c r="J38" i="5"/>
  <c r="K38" i="5"/>
  <c r="C39" i="5"/>
  <c r="D39" i="5"/>
  <c r="E39" i="5"/>
  <c r="F39" i="5"/>
  <c r="G39" i="5"/>
  <c r="H39" i="5"/>
  <c r="I39" i="5"/>
  <c r="J39" i="5"/>
  <c r="K39" i="5"/>
  <c r="C40" i="5"/>
  <c r="D40" i="5"/>
  <c r="E40" i="5"/>
  <c r="F40" i="5"/>
  <c r="G40" i="5"/>
  <c r="H40" i="5"/>
  <c r="I40" i="5"/>
  <c r="J40" i="5"/>
  <c r="K40" i="5"/>
  <c r="C41" i="5"/>
  <c r="D41" i="5"/>
  <c r="E41" i="5"/>
  <c r="F41" i="5"/>
  <c r="G41" i="5"/>
  <c r="H41" i="5"/>
  <c r="I41" i="5"/>
  <c r="J41" i="5"/>
  <c r="K41" i="5"/>
  <c r="C42" i="5"/>
  <c r="D42" i="5"/>
  <c r="E42" i="5"/>
  <c r="F42" i="5"/>
  <c r="G42" i="5"/>
  <c r="H42" i="5"/>
  <c r="I42" i="5"/>
  <c r="J42" i="5"/>
  <c r="K42" i="5"/>
  <c r="C43" i="5"/>
  <c r="D43" i="5"/>
  <c r="E43" i="5"/>
  <c r="F43" i="5"/>
  <c r="G43" i="5"/>
  <c r="H43" i="5"/>
  <c r="I43" i="5"/>
  <c r="J43" i="5"/>
  <c r="K43" i="5"/>
  <c r="E26" i="6"/>
  <c r="D26" i="6"/>
  <c r="C26" i="6"/>
  <c r="C24" i="5"/>
  <c r="D24" i="5"/>
  <c r="E24" i="5"/>
  <c r="F24" i="5"/>
  <c r="G24" i="5"/>
  <c r="H24" i="5"/>
  <c r="I24" i="5"/>
  <c r="J24" i="5"/>
  <c r="K24" i="5"/>
  <c r="C25" i="5"/>
  <c r="D25" i="5"/>
  <c r="E25" i="5"/>
  <c r="F25" i="5"/>
  <c r="G25" i="5"/>
  <c r="H25" i="5"/>
  <c r="I25" i="5"/>
  <c r="J25" i="5"/>
  <c r="K25" i="5"/>
  <c r="C26" i="5"/>
  <c r="D26" i="5"/>
  <c r="E26" i="5"/>
  <c r="F26" i="5"/>
  <c r="G26" i="5"/>
  <c r="H26" i="5"/>
  <c r="I26" i="5"/>
  <c r="J26" i="5"/>
  <c r="K26" i="5"/>
  <c r="C27" i="5"/>
  <c r="D27" i="5"/>
  <c r="E27" i="5"/>
  <c r="F27" i="5"/>
  <c r="G27" i="5"/>
  <c r="H27" i="5"/>
  <c r="I27" i="5"/>
  <c r="J27" i="5"/>
  <c r="K27" i="5"/>
  <c r="C28" i="5"/>
  <c r="D28" i="5"/>
  <c r="E28" i="5"/>
  <c r="F28" i="5"/>
  <c r="G28" i="5"/>
  <c r="H28" i="5"/>
  <c r="I28" i="5"/>
  <c r="J28" i="5"/>
  <c r="K28" i="5"/>
  <c r="C29" i="5"/>
  <c r="D29" i="5"/>
  <c r="E29" i="5"/>
  <c r="F29" i="5"/>
  <c r="G29" i="5"/>
  <c r="H29" i="5"/>
  <c r="I29" i="5"/>
  <c r="J29" i="5"/>
  <c r="K29" i="5"/>
  <c r="C30" i="5"/>
  <c r="D30" i="5"/>
  <c r="E30" i="5"/>
  <c r="F30" i="5"/>
  <c r="G30" i="5"/>
  <c r="H30" i="5"/>
  <c r="I30" i="5"/>
  <c r="J30" i="5"/>
  <c r="K30" i="5"/>
  <c r="C31" i="5"/>
  <c r="D31" i="5"/>
  <c r="E31" i="5"/>
  <c r="F31" i="5"/>
  <c r="G31" i="5"/>
  <c r="H31" i="5"/>
  <c r="I31" i="5"/>
  <c r="J31" i="5"/>
  <c r="K31" i="5"/>
  <c r="C32" i="5"/>
  <c r="D32" i="5"/>
  <c r="E32" i="5"/>
  <c r="F32" i="5"/>
  <c r="G32" i="5"/>
  <c r="H32" i="5"/>
  <c r="I32" i="5"/>
  <c r="J32" i="5"/>
  <c r="K32" i="5"/>
  <c r="C33" i="5"/>
  <c r="D33" i="5"/>
  <c r="E33" i="5"/>
  <c r="F33" i="5"/>
  <c r="G33" i="5"/>
  <c r="H33" i="5"/>
  <c r="I33" i="5"/>
  <c r="J33" i="5"/>
  <c r="K33" i="5"/>
  <c r="E25" i="6"/>
  <c r="D25" i="6"/>
  <c r="C25" i="6"/>
  <c r="C14" i="5"/>
  <c r="D14" i="5"/>
  <c r="E14" i="5"/>
  <c r="F14" i="5"/>
  <c r="G14" i="5"/>
  <c r="H14" i="5"/>
  <c r="I14" i="5"/>
  <c r="J14" i="5"/>
  <c r="K14" i="5"/>
  <c r="C15" i="5"/>
  <c r="D15" i="5"/>
  <c r="E15" i="5"/>
  <c r="F15" i="5"/>
  <c r="G15" i="5"/>
  <c r="H15" i="5"/>
  <c r="I15" i="5"/>
  <c r="J15" i="5"/>
  <c r="K15" i="5"/>
  <c r="C16" i="5"/>
  <c r="D16" i="5"/>
  <c r="E16" i="5"/>
  <c r="F16" i="5"/>
  <c r="G16" i="5"/>
  <c r="H16" i="5"/>
  <c r="I16" i="5"/>
  <c r="J16" i="5"/>
  <c r="K16" i="5"/>
  <c r="C17" i="5"/>
  <c r="D17" i="5"/>
  <c r="E17" i="5"/>
  <c r="F17" i="5"/>
  <c r="G17" i="5"/>
  <c r="H17" i="5"/>
  <c r="I17" i="5"/>
  <c r="J17" i="5"/>
  <c r="K17" i="5"/>
  <c r="C18" i="5"/>
  <c r="D18" i="5"/>
  <c r="E18" i="5"/>
  <c r="F18" i="5"/>
  <c r="G18" i="5"/>
  <c r="H18" i="5"/>
  <c r="I18" i="5"/>
  <c r="J18" i="5"/>
  <c r="K18" i="5"/>
  <c r="C19" i="5"/>
  <c r="D19" i="5"/>
  <c r="E19" i="5"/>
  <c r="F19" i="5"/>
  <c r="G19" i="5"/>
  <c r="H19" i="5"/>
  <c r="I19" i="5"/>
  <c r="J19" i="5"/>
  <c r="K19" i="5"/>
  <c r="C20" i="5"/>
  <c r="D20" i="5"/>
  <c r="E20" i="5"/>
  <c r="F20" i="5"/>
  <c r="G20" i="5"/>
  <c r="H20" i="5"/>
  <c r="I20" i="5"/>
  <c r="J20" i="5"/>
  <c r="K20" i="5"/>
  <c r="C21" i="5"/>
  <c r="D21" i="5"/>
  <c r="E21" i="5"/>
  <c r="F21" i="5"/>
  <c r="G21" i="5"/>
  <c r="H21" i="5"/>
  <c r="I21" i="5"/>
  <c r="J21" i="5"/>
  <c r="K21" i="5"/>
  <c r="C22" i="5"/>
  <c r="D22" i="5"/>
  <c r="E22" i="5"/>
  <c r="F22" i="5"/>
  <c r="G22" i="5"/>
  <c r="H22" i="5"/>
  <c r="I22" i="5"/>
  <c r="J22" i="5"/>
  <c r="K22" i="5"/>
  <c r="C23" i="5"/>
  <c r="D23" i="5"/>
  <c r="E23" i="5"/>
  <c r="F23" i="5"/>
  <c r="G23" i="5"/>
  <c r="H23" i="5"/>
  <c r="I23" i="5"/>
  <c r="J23" i="5"/>
  <c r="K23" i="5"/>
  <c r="E24" i="6"/>
  <c r="D24" i="6"/>
  <c r="C24" i="6"/>
  <c r="M513" i="5"/>
  <c r="L513" i="5"/>
  <c r="B513" i="5"/>
  <c r="M512" i="5"/>
  <c r="L512" i="5"/>
  <c r="B512" i="5"/>
  <c r="M511" i="5"/>
  <c r="L511" i="5"/>
  <c r="B511" i="5"/>
  <c r="M510" i="5"/>
  <c r="L510" i="5"/>
  <c r="B510" i="5"/>
  <c r="M509" i="5"/>
  <c r="L509" i="5"/>
  <c r="B509" i="5"/>
  <c r="M508" i="5"/>
  <c r="L508" i="5"/>
  <c r="B508" i="5"/>
  <c r="M507" i="5"/>
  <c r="L507" i="5"/>
  <c r="B507" i="5"/>
  <c r="M506" i="5"/>
  <c r="L506" i="5"/>
  <c r="B506" i="5"/>
  <c r="M505" i="5"/>
  <c r="L505" i="5"/>
  <c r="B505" i="5"/>
  <c r="M504" i="5"/>
  <c r="L504" i="5"/>
  <c r="B504" i="5"/>
  <c r="M503" i="5"/>
  <c r="L503" i="5"/>
  <c r="B503" i="5"/>
  <c r="M502" i="5"/>
  <c r="L502" i="5"/>
  <c r="B502" i="5"/>
  <c r="M501" i="5"/>
  <c r="L501" i="5"/>
  <c r="B501" i="5"/>
  <c r="M500" i="5"/>
  <c r="L500" i="5"/>
  <c r="B500" i="5"/>
  <c r="M499" i="5"/>
  <c r="L499" i="5"/>
  <c r="B499" i="5"/>
  <c r="M498" i="5"/>
  <c r="L498" i="5"/>
  <c r="B498" i="5"/>
  <c r="M497" i="5"/>
  <c r="L497" i="5"/>
  <c r="B497" i="5"/>
  <c r="M496" i="5"/>
  <c r="L496" i="5"/>
  <c r="B496" i="5"/>
  <c r="M495" i="5"/>
  <c r="L495" i="5"/>
  <c r="B495" i="5"/>
  <c r="M494" i="5"/>
  <c r="L494" i="5"/>
  <c r="B494" i="5"/>
  <c r="M493" i="5"/>
  <c r="L493" i="5"/>
  <c r="B493" i="5"/>
  <c r="M492" i="5"/>
  <c r="L492" i="5"/>
  <c r="B492" i="5"/>
  <c r="M491" i="5"/>
  <c r="L491" i="5"/>
  <c r="B491" i="5"/>
  <c r="M490" i="5"/>
  <c r="L490" i="5"/>
  <c r="B490" i="5"/>
  <c r="M489" i="5"/>
  <c r="L489" i="5"/>
  <c r="B489" i="5"/>
  <c r="M488" i="5"/>
  <c r="L488" i="5"/>
  <c r="B488" i="5"/>
  <c r="M487" i="5"/>
  <c r="L487" i="5"/>
  <c r="B487" i="5"/>
  <c r="M486" i="5"/>
  <c r="L486" i="5"/>
  <c r="B486" i="5"/>
  <c r="M485" i="5"/>
  <c r="L485" i="5"/>
  <c r="B485" i="5"/>
  <c r="M484" i="5"/>
  <c r="L484" i="5"/>
  <c r="B484" i="5"/>
  <c r="M483" i="5"/>
  <c r="L483" i="5"/>
  <c r="B483" i="5"/>
  <c r="M482" i="5"/>
  <c r="L482" i="5"/>
  <c r="B482" i="5"/>
  <c r="M481" i="5"/>
  <c r="L481" i="5"/>
  <c r="B481" i="5"/>
  <c r="M480" i="5"/>
  <c r="L480" i="5"/>
  <c r="B480" i="5"/>
  <c r="M479" i="5"/>
  <c r="L479" i="5"/>
  <c r="B479" i="5"/>
  <c r="M478" i="5"/>
  <c r="L478" i="5"/>
  <c r="B478" i="5"/>
  <c r="M477" i="5"/>
  <c r="L477" i="5"/>
  <c r="B477" i="5"/>
  <c r="M476" i="5"/>
  <c r="L476" i="5"/>
  <c r="B476" i="5"/>
  <c r="M475" i="5"/>
  <c r="L475" i="5"/>
  <c r="B475" i="5"/>
  <c r="M474" i="5"/>
  <c r="L474" i="5"/>
  <c r="B474" i="5"/>
  <c r="M473" i="5"/>
  <c r="L473" i="5"/>
  <c r="B473" i="5"/>
  <c r="M472" i="5"/>
  <c r="L472" i="5"/>
  <c r="B472" i="5"/>
  <c r="M471" i="5"/>
  <c r="L471" i="5"/>
  <c r="B471" i="5"/>
  <c r="M470" i="5"/>
  <c r="L470" i="5"/>
  <c r="B470" i="5"/>
  <c r="M469" i="5"/>
  <c r="L469" i="5"/>
  <c r="B469" i="5"/>
  <c r="M468" i="5"/>
  <c r="L468" i="5"/>
  <c r="B468" i="5"/>
  <c r="M467" i="5"/>
  <c r="L467" i="5"/>
  <c r="B467" i="5"/>
  <c r="M466" i="5"/>
  <c r="L466" i="5"/>
  <c r="B466" i="5"/>
  <c r="M465" i="5"/>
  <c r="L465" i="5"/>
  <c r="B465" i="5"/>
  <c r="M464" i="5"/>
  <c r="L464" i="5"/>
  <c r="B464" i="5"/>
  <c r="M463" i="5"/>
  <c r="L463" i="5"/>
  <c r="B463" i="5"/>
  <c r="M462" i="5"/>
  <c r="L462" i="5"/>
  <c r="B462" i="5"/>
  <c r="M461" i="5"/>
  <c r="L461" i="5"/>
  <c r="B461" i="5"/>
  <c r="M460" i="5"/>
  <c r="L460" i="5"/>
  <c r="B460" i="5"/>
  <c r="M459" i="5"/>
  <c r="L459" i="5"/>
  <c r="B459" i="5"/>
  <c r="M458" i="5"/>
  <c r="L458" i="5"/>
  <c r="B458" i="5"/>
  <c r="M457" i="5"/>
  <c r="L457" i="5"/>
  <c r="B457" i="5"/>
  <c r="M456" i="5"/>
  <c r="L456" i="5"/>
  <c r="B456" i="5"/>
  <c r="M455" i="5"/>
  <c r="L455" i="5"/>
  <c r="B455" i="5"/>
  <c r="M454" i="5"/>
  <c r="L454" i="5"/>
  <c r="B454" i="5"/>
  <c r="M453" i="5"/>
  <c r="L453" i="5"/>
  <c r="B453" i="5"/>
  <c r="M452" i="5"/>
  <c r="L452" i="5"/>
  <c r="B452" i="5"/>
  <c r="M451" i="5"/>
  <c r="L451" i="5"/>
  <c r="B451" i="5"/>
  <c r="M450" i="5"/>
  <c r="L450" i="5"/>
  <c r="B450" i="5"/>
  <c r="M449" i="5"/>
  <c r="L449" i="5"/>
  <c r="B449" i="5"/>
  <c r="M448" i="5"/>
  <c r="L448" i="5"/>
  <c r="B448" i="5"/>
  <c r="M447" i="5"/>
  <c r="L447" i="5"/>
  <c r="B447" i="5"/>
  <c r="M446" i="5"/>
  <c r="L446" i="5"/>
  <c r="B446" i="5"/>
  <c r="M445" i="5"/>
  <c r="L445" i="5"/>
  <c r="B445" i="5"/>
  <c r="M444" i="5"/>
  <c r="L444" i="5"/>
  <c r="B444" i="5"/>
  <c r="M443" i="5"/>
  <c r="L443" i="5"/>
  <c r="B443" i="5"/>
  <c r="M442" i="5"/>
  <c r="L442" i="5"/>
  <c r="B442" i="5"/>
  <c r="M441" i="5"/>
  <c r="L441" i="5"/>
  <c r="B441" i="5"/>
  <c r="M440" i="5"/>
  <c r="L440" i="5"/>
  <c r="B440" i="5"/>
  <c r="M439" i="5"/>
  <c r="L439" i="5"/>
  <c r="B439" i="5"/>
  <c r="M438" i="5"/>
  <c r="L438" i="5"/>
  <c r="B438" i="5"/>
  <c r="M437" i="5"/>
  <c r="L437" i="5"/>
  <c r="B437" i="5"/>
  <c r="M436" i="5"/>
  <c r="L436" i="5"/>
  <c r="B436" i="5"/>
  <c r="M435" i="5"/>
  <c r="L435" i="5"/>
  <c r="B435" i="5"/>
  <c r="M434" i="5"/>
  <c r="L434" i="5"/>
  <c r="B434" i="5"/>
  <c r="M433" i="5"/>
  <c r="L433" i="5"/>
  <c r="B433" i="5"/>
  <c r="M432" i="5"/>
  <c r="L432" i="5"/>
  <c r="B432" i="5"/>
  <c r="M431" i="5"/>
  <c r="L431" i="5"/>
  <c r="B431" i="5"/>
  <c r="M430" i="5"/>
  <c r="L430" i="5"/>
  <c r="B430" i="5"/>
  <c r="M429" i="5"/>
  <c r="L429" i="5"/>
  <c r="B429" i="5"/>
  <c r="M428" i="5"/>
  <c r="L428" i="5"/>
  <c r="B428" i="5"/>
  <c r="M427" i="5"/>
  <c r="L427" i="5"/>
  <c r="B427" i="5"/>
  <c r="M426" i="5"/>
  <c r="L426" i="5"/>
  <c r="B426" i="5"/>
  <c r="M425" i="5"/>
  <c r="L425" i="5"/>
  <c r="B425" i="5"/>
  <c r="M424" i="5"/>
  <c r="L424" i="5"/>
  <c r="B424" i="5"/>
  <c r="M423" i="5"/>
  <c r="L423" i="5"/>
  <c r="B423" i="5"/>
  <c r="M422" i="5"/>
  <c r="L422" i="5"/>
  <c r="B422" i="5"/>
  <c r="M421" i="5"/>
  <c r="L421" i="5"/>
  <c r="B421" i="5"/>
  <c r="M420" i="5"/>
  <c r="L420" i="5"/>
  <c r="B420" i="5"/>
  <c r="M419" i="5"/>
  <c r="L419" i="5"/>
  <c r="B419" i="5"/>
  <c r="M418" i="5"/>
  <c r="L418" i="5"/>
  <c r="B418" i="5"/>
  <c r="M417" i="5"/>
  <c r="L417" i="5"/>
  <c r="B417" i="5"/>
  <c r="M416" i="5"/>
  <c r="L416" i="5"/>
  <c r="B416" i="5"/>
  <c r="M415" i="5"/>
  <c r="L415" i="5"/>
  <c r="B415" i="5"/>
  <c r="M414" i="5"/>
  <c r="L414" i="5"/>
  <c r="B414" i="5"/>
  <c r="M413" i="5"/>
  <c r="L413" i="5"/>
  <c r="B413" i="5"/>
  <c r="M412" i="5"/>
  <c r="L412" i="5"/>
  <c r="B412" i="5"/>
  <c r="M411" i="5"/>
  <c r="L411" i="5"/>
  <c r="B411" i="5"/>
  <c r="M410" i="5"/>
  <c r="L410" i="5"/>
  <c r="B410" i="5"/>
  <c r="M409" i="5"/>
  <c r="L409" i="5"/>
  <c r="B409" i="5"/>
  <c r="M408" i="5"/>
  <c r="L408" i="5"/>
  <c r="B408" i="5"/>
  <c r="M407" i="5"/>
  <c r="L407" i="5"/>
  <c r="B407" i="5"/>
  <c r="M406" i="5"/>
  <c r="L406" i="5"/>
  <c r="B406" i="5"/>
  <c r="M405" i="5"/>
  <c r="L405" i="5"/>
  <c r="B405" i="5"/>
  <c r="M404" i="5"/>
  <c r="L404" i="5"/>
  <c r="B404" i="5"/>
  <c r="M403" i="5"/>
  <c r="L403" i="5"/>
  <c r="B403" i="5"/>
  <c r="M402" i="5"/>
  <c r="L402" i="5"/>
  <c r="B402" i="5"/>
  <c r="M401" i="5"/>
  <c r="L401" i="5"/>
  <c r="B401" i="5"/>
  <c r="M400" i="5"/>
  <c r="L400" i="5"/>
  <c r="B400" i="5"/>
  <c r="M399" i="5"/>
  <c r="L399" i="5"/>
  <c r="B399" i="5"/>
  <c r="M398" i="5"/>
  <c r="L398" i="5"/>
  <c r="B398" i="5"/>
  <c r="M397" i="5"/>
  <c r="L397" i="5"/>
  <c r="B397" i="5"/>
  <c r="M396" i="5"/>
  <c r="L396" i="5"/>
  <c r="B396" i="5"/>
  <c r="M395" i="5"/>
  <c r="L395" i="5"/>
  <c r="B395" i="5"/>
  <c r="M394" i="5"/>
  <c r="L394" i="5"/>
  <c r="B394" i="5"/>
  <c r="M393" i="5"/>
  <c r="L393" i="5"/>
  <c r="B393" i="5"/>
  <c r="M392" i="5"/>
  <c r="L392" i="5"/>
  <c r="B392" i="5"/>
  <c r="M391" i="5"/>
  <c r="L391" i="5"/>
  <c r="B391" i="5"/>
  <c r="M390" i="5"/>
  <c r="L390" i="5"/>
  <c r="B390" i="5"/>
  <c r="M389" i="5"/>
  <c r="L389" i="5"/>
  <c r="B389" i="5"/>
  <c r="M388" i="5"/>
  <c r="L388" i="5"/>
  <c r="B388" i="5"/>
  <c r="M387" i="5"/>
  <c r="L387" i="5"/>
  <c r="B387" i="5"/>
  <c r="M386" i="5"/>
  <c r="L386" i="5"/>
  <c r="B386" i="5"/>
  <c r="M385" i="5"/>
  <c r="L385" i="5"/>
  <c r="B385" i="5"/>
  <c r="M384" i="5"/>
  <c r="L384" i="5"/>
  <c r="B384" i="5"/>
  <c r="M383" i="5"/>
  <c r="L383" i="5"/>
  <c r="B383" i="5"/>
  <c r="M382" i="5"/>
  <c r="L382" i="5"/>
  <c r="B382" i="5"/>
  <c r="M381" i="5"/>
  <c r="L381" i="5"/>
  <c r="B381" i="5"/>
  <c r="M380" i="5"/>
  <c r="L380" i="5"/>
  <c r="B380" i="5"/>
  <c r="M379" i="5"/>
  <c r="L379" i="5"/>
  <c r="B379" i="5"/>
  <c r="M378" i="5"/>
  <c r="L378" i="5"/>
  <c r="B378" i="5"/>
  <c r="M377" i="5"/>
  <c r="L377" i="5"/>
  <c r="B377" i="5"/>
  <c r="M376" i="5"/>
  <c r="L376" i="5"/>
  <c r="B376" i="5"/>
  <c r="M375" i="5"/>
  <c r="L375" i="5"/>
  <c r="B375" i="5"/>
  <c r="M374" i="5"/>
  <c r="L374" i="5"/>
  <c r="B374" i="5"/>
  <c r="M373" i="5"/>
  <c r="L373" i="5"/>
  <c r="B373" i="5"/>
  <c r="M372" i="5"/>
  <c r="L372" i="5"/>
  <c r="B372" i="5"/>
  <c r="M371" i="5"/>
  <c r="L371" i="5"/>
  <c r="B371" i="5"/>
  <c r="M370" i="5"/>
  <c r="L370" i="5"/>
  <c r="B370" i="5"/>
  <c r="M369" i="5"/>
  <c r="L369" i="5"/>
  <c r="B369" i="5"/>
  <c r="M368" i="5"/>
  <c r="L368" i="5"/>
  <c r="B368" i="5"/>
  <c r="M367" i="5"/>
  <c r="L367" i="5"/>
  <c r="B367" i="5"/>
  <c r="M366" i="5"/>
  <c r="L366" i="5"/>
  <c r="B366" i="5"/>
  <c r="M365" i="5"/>
  <c r="L365" i="5"/>
  <c r="B365" i="5"/>
  <c r="M364" i="5"/>
  <c r="L364" i="5"/>
  <c r="B364" i="5"/>
  <c r="M363" i="5"/>
  <c r="L363" i="5"/>
  <c r="B363" i="5"/>
  <c r="M362" i="5"/>
  <c r="L362" i="5"/>
  <c r="B362" i="5"/>
  <c r="M361" i="5"/>
  <c r="L361" i="5"/>
  <c r="B361" i="5"/>
  <c r="M360" i="5"/>
  <c r="L360" i="5"/>
  <c r="B360" i="5"/>
  <c r="M359" i="5"/>
  <c r="L359" i="5"/>
  <c r="B359" i="5"/>
  <c r="M358" i="5"/>
  <c r="L358" i="5"/>
  <c r="B358" i="5"/>
  <c r="M357" i="5"/>
  <c r="L357" i="5"/>
  <c r="B357" i="5"/>
  <c r="M356" i="5"/>
  <c r="L356" i="5"/>
  <c r="B356" i="5"/>
  <c r="M355" i="5"/>
  <c r="L355" i="5"/>
  <c r="B355" i="5"/>
  <c r="M354" i="5"/>
  <c r="L354" i="5"/>
  <c r="B354" i="5"/>
  <c r="M353" i="5"/>
  <c r="L353" i="5"/>
  <c r="B353" i="5"/>
  <c r="M352" i="5"/>
  <c r="L352" i="5"/>
  <c r="B352" i="5"/>
  <c r="M351" i="5"/>
  <c r="L351" i="5"/>
  <c r="B351" i="5"/>
  <c r="M350" i="5"/>
  <c r="L350" i="5"/>
  <c r="B350" i="5"/>
  <c r="M349" i="5"/>
  <c r="L349" i="5"/>
  <c r="B349" i="5"/>
  <c r="M348" i="5"/>
  <c r="L348" i="5"/>
  <c r="B348" i="5"/>
  <c r="M347" i="5"/>
  <c r="L347" i="5"/>
  <c r="B347" i="5"/>
  <c r="M346" i="5"/>
  <c r="L346" i="5"/>
  <c r="B346" i="5"/>
  <c r="M345" i="5"/>
  <c r="L345" i="5"/>
  <c r="B345" i="5"/>
  <c r="M344" i="5"/>
  <c r="L344" i="5"/>
  <c r="B344" i="5"/>
  <c r="M343" i="5"/>
  <c r="L343" i="5"/>
  <c r="B343" i="5"/>
  <c r="M342" i="5"/>
  <c r="L342" i="5"/>
  <c r="B342" i="5"/>
  <c r="M341" i="5"/>
  <c r="L341" i="5"/>
  <c r="B341" i="5"/>
  <c r="M340" i="5"/>
  <c r="L340" i="5"/>
  <c r="B340" i="5"/>
  <c r="M339" i="5"/>
  <c r="L339" i="5"/>
  <c r="B339" i="5"/>
  <c r="M338" i="5"/>
  <c r="L338" i="5"/>
  <c r="B338" i="5"/>
  <c r="M337" i="5"/>
  <c r="L337" i="5"/>
  <c r="B337" i="5"/>
  <c r="M336" i="5"/>
  <c r="L336" i="5"/>
  <c r="B336" i="5"/>
  <c r="M335" i="5"/>
  <c r="L335" i="5"/>
  <c r="B335" i="5"/>
  <c r="M334" i="5"/>
  <c r="L334" i="5"/>
  <c r="B334" i="5"/>
  <c r="M333" i="5"/>
  <c r="L333" i="5"/>
  <c r="B333" i="5"/>
  <c r="M332" i="5"/>
  <c r="L332" i="5"/>
  <c r="B332" i="5"/>
  <c r="M331" i="5"/>
  <c r="L331" i="5"/>
  <c r="B331" i="5"/>
  <c r="M330" i="5"/>
  <c r="L330" i="5"/>
  <c r="B330" i="5"/>
  <c r="M329" i="5"/>
  <c r="L329" i="5"/>
  <c r="B329" i="5"/>
  <c r="M328" i="5"/>
  <c r="L328" i="5"/>
  <c r="B328" i="5"/>
  <c r="M327" i="5"/>
  <c r="L327" i="5"/>
  <c r="B327" i="5"/>
  <c r="M326" i="5"/>
  <c r="L326" i="5"/>
  <c r="B326" i="5"/>
  <c r="M325" i="5"/>
  <c r="L325" i="5"/>
  <c r="B325" i="5"/>
  <c r="M324" i="5"/>
  <c r="L324" i="5"/>
  <c r="B324" i="5"/>
  <c r="M323" i="5"/>
  <c r="L323" i="5"/>
  <c r="B323" i="5"/>
  <c r="M322" i="5"/>
  <c r="L322" i="5"/>
  <c r="B322" i="5"/>
  <c r="M321" i="5"/>
  <c r="L321" i="5"/>
  <c r="B321" i="5"/>
  <c r="M320" i="5"/>
  <c r="L320" i="5"/>
  <c r="B320" i="5"/>
  <c r="M319" i="5"/>
  <c r="L319" i="5"/>
  <c r="B319" i="5"/>
  <c r="M318" i="5"/>
  <c r="L318" i="5"/>
  <c r="B318" i="5"/>
  <c r="M317" i="5"/>
  <c r="L317" i="5"/>
  <c r="B317" i="5"/>
  <c r="M316" i="5"/>
  <c r="L316" i="5"/>
  <c r="B316" i="5"/>
  <c r="M315" i="5"/>
  <c r="L315" i="5"/>
  <c r="B315" i="5"/>
  <c r="M314" i="5"/>
  <c r="L314" i="5"/>
  <c r="B314" i="5"/>
  <c r="M313" i="5"/>
  <c r="L313" i="5"/>
  <c r="B313" i="5"/>
  <c r="M312" i="5"/>
  <c r="L312" i="5"/>
  <c r="B312" i="5"/>
  <c r="M311" i="5"/>
  <c r="L311" i="5"/>
  <c r="B311" i="5"/>
  <c r="M310" i="5"/>
  <c r="L310" i="5"/>
  <c r="B310" i="5"/>
  <c r="M309" i="5"/>
  <c r="L309" i="5"/>
  <c r="B309" i="5"/>
  <c r="M308" i="5"/>
  <c r="L308" i="5"/>
  <c r="B308" i="5"/>
  <c r="M307" i="5"/>
  <c r="L307" i="5"/>
  <c r="B307" i="5"/>
  <c r="M306" i="5"/>
  <c r="L306" i="5"/>
  <c r="B306" i="5"/>
  <c r="M305" i="5"/>
  <c r="L305" i="5"/>
  <c r="B305" i="5"/>
  <c r="M304" i="5"/>
  <c r="L304" i="5"/>
  <c r="B304" i="5"/>
  <c r="M303" i="5"/>
  <c r="L303" i="5"/>
  <c r="B303" i="5"/>
  <c r="M302" i="5"/>
  <c r="L302" i="5"/>
  <c r="B302" i="5"/>
  <c r="M301" i="5"/>
  <c r="L301" i="5"/>
  <c r="B301" i="5"/>
  <c r="M300" i="5"/>
  <c r="L300" i="5"/>
  <c r="B300" i="5"/>
  <c r="M299" i="5"/>
  <c r="L299" i="5"/>
  <c r="B299" i="5"/>
  <c r="M298" i="5"/>
  <c r="L298" i="5"/>
  <c r="B298" i="5"/>
  <c r="M297" i="5"/>
  <c r="L297" i="5"/>
  <c r="B297" i="5"/>
  <c r="M296" i="5"/>
  <c r="L296" i="5"/>
  <c r="B296" i="5"/>
  <c r="M295" i="5"/>
  <c r="L295" i="5"/>
  <c r="B295" i="5"/>
  <c r="M294" i="5"/>
  <c r="L294" i="5"/>
  <c r="B294" i="5"/>
  <c r="M293" i="5"/>
  <c r="L293" i="5"/>
  <c r="B293" i="5"/>
  <c r="M292" i="5"/>
  <c r="L292" i="5"/>
  <c r="B292" i="5"/>
  <c r="M291" i="5"/>
  <c r="L291" i="5"/>
  <c r="B291" i="5"/>
  <c r="M290" i="5"/>
  <c r="L290" i="5"/>
  <c r="B290" i="5"/>
  <c r="M289" i="5"/>
  <c r="L289" i="5"/>
  <c r="B289" i="5"/>
  <c r="M288" i="5"/>
  <c r="L288" i="5"/>
  <c r="B288" i="5"/>
  <c r="M287" i="5"/>
  <c r="L287" i="5"/>
  <c r="B287" i="5"/>
  <c r="M286" i="5"/>
  <c r="L286" i="5"/>
  <c r="B286" i="5"/>
  <c r="M285" i="5"/>
  <c r="L285" i="5"/>
  <c r="B285" i="5"/>
  <c r="M284" i="5"/>
  <c r="L284" i="5"/>
  <c r="B284" i="5"/>
  <c r="M283" i="5"/>
  <c r="L283" i="5"/>
  <c r="B283" i="5"/>
  <c r="M282" i="5"/>
  <c r="L282" i="5"/>
  <c r="B282" i="5"/>
  <c r="M281" i="5"/>
  <c r="L281" i="5"/>
  <c r="B281" i="5"/>
  <c r="M280" i="5"/>
  <c r="L280" i="5"/>
  <c r="B280" i="5"/>
  <c r="M279" i="5"/>
  <c r="L279" i="5"/>
  <c r="B279" i="5"/>
  <c r="M278" i="5"/>
  <c r="L278" i="5"/>
  <c r="B278" i="5"/>
  <c r="M277" i="5"/>
  <c r="L277" i="5"/>
  <c r="B277" i="5"/>
  <c r="M276" i="5"/>
  <c r="L276" i="5"/>
  <c r="B276" i="5"/>
  <c r="M275" i="5"/>
  <c r="L275" i="5"/>
  <c r="B275" i="5"/>
  <c r="M274" i="5"/>
  <c r="L274" i="5"/>
  <c r="B274" i="5"/>
  <c r="M273" i="5"/>
  <c r="L273" i="5"/>
  <c r="B273" i="5"/>
  <c r="M272" i="5"/>
  <c r="L272" i="5"/>
  <c r="B272" i="5"/>
  <c r="M271" i="5"/>
  <c r="L271" i="5"/>
  <c r="B271" i="5"/>
  <c r="M270" i="5"/>
  <c r="L270" i="5"/>
  <c r="B270" i="5"/>
  <c r="M269" i="5"/>
  <c r="L269" i="5"/>
  <c r="B269" i="5"/>
  <c r="M268" i="5"/>
  <c r="L268" i="5"/>
  <c r="B268" i="5"/>
  <c r="M267" i="5"/>
  <c r="L267" i="5"/>
  <c r="B267" i="5"/>
  <c r="M266" i="5"/>
  <c r="L266" i="5"/>
  <c r="B266" i="5"/>
  <c r="M265" i="5"/>
  <c r="L265" i="5"/>
  <c r="B265" i="5"/>
  <c r="M264" i="5"/>
  <c r="L264" i="5"/>
  <c r="B264" i="5"/>
  <c r="M263" i="5"/>
  <c r="L263" i="5"/>
  <c r="B263" i="5"/>
  <c r="M262" i="5"/>
  <c r="L262" i="5"/>
  <c r="B262" i="5"/>
  <c r="M261" i="5"/>
  <c r="L261" i="5"/>
  <c r="B261" i="5"/>
  <c r="M260" i="5"/>
  <c r="L260" i="5"/>
  <c r="B260" i="5"/>
  <c r="M259" i="5"/>
  <c r="L259" i="5"/>
  <c r="B259" i="5"/>
  <c r="M258" i="5"/>
  <c r="L258" i="5"/>
  <c r="B258" i="5"/>
  <c r="M257" i="5"/>
  <c r="L257" i="5"/>
  <c r="B257" i="5"/>
  <c r="M256" i="5"/>
  <c r="L256" i="5"/>
  <c r="B256" i="5"/>
  <c r="M255" i="5"/>
  <c r="L255" i="5"/>
  <c r="B255" i="5"/>
  <c r="M254" i="5"/>
  <c r="L254" i="5"/>
  <c r="B254" i="5"/>
  <c r="M253" i="5"/>
  <c r="L253" i="5"/>
  <c r="B253" i="5"/>
  <c r="M252" i="5"/>
  <c r="L252" i="5"/>
  <c r="B252" i="5"/>
  <c r="M251" i="5"/>
  <c r="L251" i="5"/>
  <c r="B251" i="5"/>
  <c r="M250" i="5"/>
  <c r="L250" i="5"/>
  <c r="B250" i="5"/>
  <c r="M249" i="5"/>
  <c r="L249" i="5"/>
  <c r="B249" i="5"/>
  <c r="M248" i="5"/>
  <c r="L248" i="5"/>
  <c r="B248" i="5"/>
  <c r="M247" i="5"/>
  <c r="L247" i="5"/>
  <c r="B247" i="5"/>
  <c r="M246" i="5"/>
  <c r="L246" i="5"/>
  <c r="B246" i="5"/>
  <c r="M245" i="5"/>
  <c r="L245" i="5"/>
  <c r="B245" i="5"/>
  <c r="M244" i="5"/>
  <c r="L244" i="5"/>
  <c r="B244" i="5"/>
  <c r="M243" i="5"/>
  <c r="L243" i="5"/>
  <c r="B243" i="5"/>
  <c r="M242" i="5"/>
  <c r="L242" i="5"/>
  <c r="B242" i="5"/>
  <c r="M241" i="5"/>
  <c r="L241" i="5"/>
  <c r="B241" i="5"/>
  <c r="M240" i="5"/>
  <c r="L240" i="5"/>
  <c r="B240" i="5"/>
  <c r="M239" i="5"/>
  <c r="L239" i="5"/>
  <c r="B239" i="5"/>
  <c r="M238" i="5"/>
  <c r="L238" i="5"/>
  <c r="B238" i="5"/>
  <c r="M237" i="5"/>
  <c r="L237" i="5"/>
  <c r="B237" i="5"/>
  <c r="M236" i="5"/>
  <c r="L236" i="5"/>
  <c r="B236" i="5"/>
  <c r="M235" i="5"/>
  <c r="L235" i="5"/>
  <c r="B235" i="5"/>
  <c r="M234" i="5"/>
  <c r="L234" i="5"/>
  <c r="B234" i="5"/>
  <c r="M233" i="5"/>
  <c r="L233" i="5"/>
  <c r="B233" i="5"/>
  <c r="M232" i="5"/>
  <c r="L232" i="5"/>
  <c r="B232" i="5"/>
  <c r="M231" i="5"/>
  <c r="L231" i="5"/>
  <c r="B231" i="5"/>
  <c r="M230" i="5"/>
  <c r="L230" i="5"/>
  <c r="B230" i="5"/>
  <c r="M229" i="5"/>
  <c r="L229" i="5"/>
  <c r="B229" i="5"/>
  <c r="M228" i="5"/>
  <c r="L228" i="5"/>
  <c r="B228" i="5"/>
  <c r="M227" i="5"/>
  <c r="L227" i="5"/>
  <c r="B227" i="5"/>
  <c r="M226" i="5"/>
  <c r="L226" i="5"/>
  <c r="B226" i="5"/>
  <c r="M225" i="5"/>
  <c r="L225" i="5"/>
  <c r="B225" i="5"/>
  <c r="M224" i="5"/>
  <c r="L224" i="5"/>
  <c r="B224" i="5"/>
  <c r="M223" i="5"/>
  <c r="L223" i="5"/>
  <c r="B223" i="5"/>
  <c r="M222" i="5"/>
  <c r="L222" i="5"/>
  <c r="B222" i="5"/>
  <c r="M221" i="5"/>
  <c r="L221" i="5"/>
  <c r="B221" i="5"/>
  <c r="M220" i="5"/>
  <c r="L220" i="5"/>
  <c r="B220" i="5"/>
  <c r="M219" i="5"/>
  <c r="L219" i="5"/>
  <c r="B219" i="5"/>
  <c r="M218" i="5"/>
  <c r="L218" i="5"/>
  <c r="B218" i="5"/>
  <c r="M217" i="5"/>
  <c r="L217" i="5"/>
  <c r="B217" i="5"/>
  <c r="M216" i="5"/>
  <c r="L216" i="5"/>
  <c r="B216" i="5"/>
  <c r="M215" i="5"/>
  <c r="L215" i="5"/>
  <c r="B215" i="5"/>
  <c r="M214" i="5"/>
  <c r="L214" i="5"/>
  <c r="B214" i="5"/>
  <c r="M213" i="5"/>
  <c r="L213" i="5"/>
  <c r="B213" i="5"/>
  <c r="M212" i="5"/>
  <c r="L212" i="5"/>
  <c r="B212" i="5"/>
  <c r="M211" i="5"/>
  <c r="L211" i="5"/>
  <c r="B211" i="5"/>
  <c r="M210" i="5"/>
  <c r="L210" i="5"/>
  <c r="B210" i="5"/>
  <c r="M209" i="5"/>
  <c r="L209" i="5"/>
  <c r="B209" i="5"/>
  <c r="M208" i="5"/>
  <c r="L208" i="5"/>
  <c r="B208" i="5"/>
  <c r="M207" i="5"/>
  <c r="L207" i="5"/>
  <c r="B207" i="5"/>
  <c r="M206" i="5"/>
  <c r="L206" i="5"/>
  <c r="B206" i="5"/>
  <c r="M205" i="5"/>
  <c r="L205" i="5"/>
  <c r="B205" i="5"/>
  <c r="M204" i="5"/>
  <c r="L204" i="5"/>
  <c r="B204" i="5"/>
  <c r="M203" i="5"/>
  <c r="L203" i="5"/>
  <c r="B203" i="5"/>
  <c r="M202" i="5"/>
  <c r="L202" i="5"/>
  <c r="B202" i="5"/>
  <c r="M201" i="5"/>
  <c r="L201" i="5"/>
  <c r="B201" i="5"/>
  <c r="M200" i="5"/>
  <c r="L200" i="5"/>
  <c r="B200" i="5"/>
  <c r="M199" i="5"/>
  <c r="L199" i="5"/>
  <c r="B199" i="5"/>
  <c r="M198" i="5"/>
  <c r="L198" i="5"/>
  <c r="B198" i="5"/>
  <c r="M197" i="5"/>
  <c r="L197" i="5"/>
  <c r="B197" i="5"/>
  <c r="M196" i="5"/>
  <c r="L196" i="5"/>
  <c r="B196" i="5"/>
  <c r="M195" i="5"/>
  <c r="L195" i="5"/>
  <c r="B195" i="5"/>
  <c r="M194" i="5"/>
  <c r="L194" i="5"/>
  <c r="B194" i="5"/>
  <c r="M193" i="5"/>
  <c r="L193" i="5"/>
  <c r="B193" i="5"/>
  <c r="M192" i="5"/>
  <c r="L192" i="5"/>
  <c r="B192" i="5"/>
  <c r="M191" i="5"/>
  <c r="L191" i="5"/>
  <c r="B191" i="5"/>
  <c r="M190" i="5"/>
  <c r="L190" i="5"/>
  <c r="B190" i="5"/>
  <c r="M189" i="5"/>
  <c r="L189" i="5"/>
  <c r="B189" i="5"/>
  <c r="M188" i="5"/>
  <c r="L188" i="5"/>
  <c r="B188" i="5"/>
  <c r="M187" i="5"/>
  <c r="L187" i="5"/>
  <c r="B187" i="5"/>
  <c r="M186" i="5"/>
  <c r="L186" i="5"/>
  <c r="B186" i="5"/>
  <c r="M185" i="5"/>
  <c r="L185" i="5"/>
  <c r="B185" i="5"/>
  <c r="M184" i="5"/>
  <c r="L184" i="5"/>
  <c r="B184" i="5"/>
  <c r="M183" i="5"/>
  <c r="L183" i="5"/>
  <c r="B183" i="5"/>
  <c r="M182" i="5"/>
  <c r="L182" i="5"/>
  <c r="B182" i="5"/>
  <c r="M181" i="5"/>
  <c r="L181" i="5"/>
  <c r="B181" i="5"/>
  <c r="M180" i="5"/>
  <c r="L180" i="5"/>
  <c r="B180" i="5"/>
  <c r="M179" i="5"/>
  <c r="L179" i="5"/>
  <c r="B179" i="5"/>
  <c r="M178" i="5"/>
  <c r="L178" i="5"/>
  <c r="B178" i="5"/>
  <c r="M177" i="5"/>
  <c r="L177" i="5"/>
  <c r="B177" i="5"/>
  <c r="M176" i="5"/>
  <c r="L176" i="5"/>
  <c r="B176" i="5"/>
  <c r="M175" i="5"/>
  <c r="L175" i="5"/>
  <c r="B175" i="5"/>
  <c r="M174" i="5"/>
  <c r="L174" i="5"/>
  <c r="B174" i="5"/>
  <c r="M173" i="5"/>
  <c r="L173" i="5"/>
  <c r="B173" i="5"/>
  <c r="M172" i="5"/>
  <c r="L172" i="5"/>
  <c r="B172" i="5"/>
  <c r="M171" i="5"/>
  <c r="L171" i="5"/>
  <c r="B171" i="5"/>
  <c r="M170" i="5"/>
  <c r="L170" i="5"/>
  <c r="B170" i="5"/>
  <c r="M169" i="5"/>
  <c r="L169" i="5"/>
  <c r="B169" i="5"/>
  <c r="M168" i="5"/>
  <c r="L168" i="5"/>
  <c r="B168" i="5"/>
  <c r="M167" i="5"/>
  <c r="L167" i="5"/>
  <c r="B167" i="5"/>
  <c r="M166" i="5"/>
  <c r="L166" i="5"/>
  <c r="B166" i="5"/>
  <c r="M165" i="5"/>
  <c r="L165" i="5"/>
  <c r="B165" i="5"/>
  <c r="M164" i="5"/>
  <c r="L164" i="5"/>
  <c r="B164" i="5"/>
  <c r="M163" i="5"/>
  <c r="L163" i="5"/>
  <c r="B163" i="5"/>
  <c r="M162" i="5"/>
  <c r="L162" i="5"/>
  <c r="B162" i="5"/>
  <c r="M161" i="5"/>
  <c r="L161" i="5"/>
  <c r="B161" i="5"/>
  <c r="M160" i="5"/>
  <c r="L160" i="5"/>
  <c r="B160" i="5"/>
  <c r="M159" i="5"/>
  <c r="L159" i="5"/>
  <c r="B159" i="5"/>
  <c r="M158" i="5"/>
  <c r="L158" i="5"/>
  <c r="B158" i="5"/>
  <c r="M157" i="5"/>
  <c r="L157" i="5"/>
  <c r="B157" i="5"/>
  <c r="M156" i="5"/>
  <c r="L156" i="5"/>
  <c r="B156" i="5"/>
  <c r="M155" i="5"/>
  <c r="L155" i="5"/>
  <c r="B155" i="5"/>
  <c r="M154" i="5"/>
  <c r="L154" i="5"/>
  <c r="B154" i="5"/>
  <c r="M153" i="5"/>
  <c r="L153" i="5"/>
  <c r="B153" i="5"/>
  <c r="M152" i="5"/>
  <c r="L152" i="5"/>
  <c r="B152" i="5"/>
  <c r="M151" i="5"/>
  <c r="L151" i="5"/>
  <c r="B151" i="5"/>
  <c r="M150" i="5"/>
  <c r="L150" i="5"/>
  <c r="B150" i="5"/>
  <c r="M149" i="5"/>
  <c r="L149" i="5"/>
  <c r="B149" i="5"/>
  <c r="M148" i="5"/>
  <c r="L148" i="5"/>
  <c r="B148" i="5"/>
  <c r="M147" i="5"/>
  <c r="L147" i="5"/>
  <c r="B147" i="5"/>
  <c r="M146" i="5"/>
  <c r="L146" i="5"/>
  <c r="B146" i="5"/>
  <c r="M145" i="5"/>
  <c r="L145" i="5"/>
  <c r="B145" i="5"/>
  <c r="M144" i="5"/>
  <c r="L144" i="5"/>
  <c r="B144" i="5"/>
  <c r="M143" i="5"/>
  <c r="L143" i="5"/>
  <c r="B143" i="5"/>
  <c r="M142" i="5"/>
  <c r="L142" i="5"/>
  <c r="B142" i="5"/>
  <c r="M141" i="5"/>
  <c r="L141" i="5"/>
  <c r="B141" i="5"/>
  <c r="M140" i="5"/>
  <c r="L140" i="5"/>
  <c r="B140" i="5"/>
  <c r="M139" i="5"/>
  <c r="L139" i="5"/>
  <c r="B139" i="5"/>
  <c r="M138" i="5"/>
  <c r="L138" i="5"/>
  <c r="B138" i="5"/>
  <c r="M137" i="5"/>
  <c r="L137" i="5"/>
  <c r="B137" i="5"/>
  <c r="M136" i="5"/>
  <c r="L136" i="5"/>
  <c r="B136" i="5"/>
  <c r="M135" i="5"/>
  <c r="L135" i="5"/>
  <c r="B135" i="5"/>
  <c r="M134" i="5"/>
  <c r="L134" i="5"/>
  <c r="B134" i="5"/>
  <c r="M133" i="5"/>
  <c r="L133" i="5"/>
  <c r="B133" i="5"/>
  <c r="M132" i="5"/>
  <c r="L132" i="5"/>
  <c r="B132" i="5"/>
  <c r="M131" i="5"/>
  <c r="L131" i="5"/>
  <c r="B131" i="5"/>
  <c r="M130" i="5"/>
  <c r="L130" i="5"/>
  <c r="B130" i="5"/>
  <c r="M129" i="5"/>
  <c r="L129" i="5"/>
  <c r="B129" i="5"/>
  <c r="M128" i="5"/>
  <c r="L128" i="5"/>
  <c r="B128" i="5"/>
  <c r="M127" i="5"/>
  <c r="L127" i="5"/>
  <c r="B127" i="5"/>
  <c r="M126" i="5"/>
  <c r="L126" i="5"/>
  <c r="B126" i="5"/>
  <c r="M125" i="5"/>
  <c r="L125" i="5"/>
  <c r="B125" i="5"/>
  <c r="M124" i="5"/>
  <c r="L124" i="5"/>
  <c r="B124" i="5"/>
  <c r="M123" i="5"/>
  <c r="L123" i="5"/>
  <c r="B123" i="5"/>
  <c r="M122" i="5"/>
  <c r="L122" i="5"/>
  <c r="B122" i="5"/>
  <c r="M121" i="5"/>
  <c r="L121" i="5"/>
  <c r="B121" i="5"/>
  <c r="M120" i="5"/>
  <c r="L120" i="5"/>
  <c r="B120" i="5"/>
  <c r="M119" i="5"/>
  <c r="L119" i="5"/>
  <c r="B119" i="5"/>
  <c r="M118" i="5"/>
  <c r="L118" i="5"/>
  <c r="B118" i="5"/>
  <c r="M117" i="5"/>
  <c r="L117" i="5"/>
  <c r="B117" i="5"/>
  <c r="M116" i="5"/>
  <c r="L116" i="5"/>
  <c r="B116" i="5"/>
  <c r="M115" i="5"/>
  <c r="L115" i="5"/>
  <c r="B115" i="5"/>
  <c r="M114" i="5"/>
  <c r="L114" i="5"/>
  <c r="B114" i="5"/>
  <c r="M113" i="5"/>
  <c r="L113" i="5"/>
  <c r="B113" i="5"/>
  <c r="M112" i="5"/>
  <c r="L112" i="5"/>
  <c r="B112" i="5"/>
  <c r="M111" i="5"/>
  <c r="L111" i="5"/>
  <c r="B111" i="5"/>
  <c r="M110" i="5"/>
  <c r="L110" i="5"/>
  <c r="B110" i="5"/>
  <c r="M109" i="5"/>
  <c r="L109" i="5"/>
  <c r="B109" i="5"/>
  <c r="M108" i="5"/>
  <c r="L108" i="5"/>
  <c r="B108" i="5"/>
  <c r="M107" i="5"/>
  <c r="L107" i="5"/>
  <c r="B107" i="5"/>
  <c r="M106" i="5"/>
  <c r="L106" i="5"/>
  <c r="B106" i="5"/>
  <c r="M105" i="5"/>
  <c r="L105" i="5"/>
  <c r="B105" i="5"/>
  <c r="M104" i="5"/>
  <c r="L104" i="5"/>
  <c r="B104" i="5"/>
  <c r="M103" i="5"/>
  <c r="L103" i="5"/>
  <c r="B103" i="5"/>
  <c r="M102" i="5"/>
  <c r="L102" i="5"/>
  <c r="B102" i="5"/>
  <c r="M101" i="5"/>
  <c r="L101" i="5"/>
  <c r="B101" i="5"/>
  <c r="M100" i="5"/>
  <c r="L100" i="5"/>
  <c r="B100" i="5"/>
  <c r="M99" i="5"/>
  <c r="L99" i="5"/>
  <c r="B99" i="5"/>
  <c r="M98" i="5"/>
  <c r="L98" i="5"/>
  <c r="B98" i="5"/>
  <c r="M97" i="5"/>
  <c r="L97" i="5"/>
  <c r="B97" i="5"/>
  <c r="M96" i="5"/>
  <c r="L96" i="5"/>
  <c r="B96" i="5"/>
  <c r="M95" i="5"/>
  <c r="L95" i="5"/>
  <c r="B95" i="5"/>
  <c r="M94" i="5"/>
  <c r="L94" i="5"/>
  <c r="B94" i="5"/>
  <c r="M93" i="5"/>
  <c r="L93" i="5"/>
  <c r="B93" i="5"/>
  <c r="M92" i="5"/>
  <c r="L92" i="5"/>
  <c r="B92" i="5"/>
  <c r="M91" i="5"/>
  <c r="L91" i="5"/>
  <c r="B91" i="5"/>
  <c r="M90" i="5"/>
  <c r="L90" i="5"/>
  <c r="B90" i="5"/>
  <c r="M89" i="5"/>
  <c r="L89" i="5"/>
  <c r="B89" i="5"/>
  <c r="M88" i="5"/>
  <c r="L88" i="5"/>
  <c r="B88" i="5"/>
  <c r="M87" i="5"/>
  <c r="L87" i="5"/>
  <c r="B87" i="5"/>
  <c r="M86" i="5"/>
  <c r="L86" i="5"/>
  <c r="B86" i="5"/>
  <c r="M85" i="5"/>
  <c r="L85" i="5"/>
  <c r="B85" i="5"/>
  <c r="M84" i="5"/>
  <c r="L84" i="5"/>
  <c r="B84" i="5"/>
  <c r="M83" i="5"/>
  <c r="L83" i="5"/>
  <c r="B83" i="5"/>
  <c r="M82" i="5"/>
  <c r="L82" i="5"/>
  <c r="B82" i="5"/>
  <c r="M81" i="5"/>
  <c r="L81" i="5"/>
  <c r="B81" i="5"/>
  <c r="M80" i="5"/>
  <c r="L80" i="5"/>
  <c r="B80" i="5"/>
  <c r="M79" i="5"/>
  <c r="L79" i="5"/>
  <c r="B79" i="5"/>
  <c r="M78" i="5"/>
  <c r="L78" i="5"/>
  <c r="B78" i="5"/>
  <c r="M77" i="5"/>
  <c r="L77" i="5"/>
  <c r="B77" i="5"/>
  <c r="M76" i="5"/>
  <c r="L76" i="5"/>
  <c r="B76" i="5"/>
  <c r="M75" i="5"/>
  <c r="L75" i="5"/>
  <c r="B75" i="5"/>
  <c r="M74" i="5"/>
  <c r="L74" i="5"/>
  <c r="B74" i="5"/>
  <c r="M73" i="5"/>
  <c r="L73" i="5"/>
  <c r="B73" i="5"/>
  <c r="M72" i="5"/>
  <c r="L72" i="5"/>
  <c r="B72" i="5"/>
  <c r="M71" i="5"/>
  <c r="L71" i="5"/>
  <c r="B71" i="5"/>
  <c r="M70" i="5"/>
  <c r="L70" i="5"/>
  <c r="B70" i="5"/>
  <c r="M69" i="5"/>
  <c r="L69" i="5"/>
  <c r="B69" i="5"/>
  <c r="M68" i="5"/>
  <c r="L68" i="5"/>
  <c r="B68" i="5"/>
  <c r="M67" i="5"/>
  <c r="L67" i="5"/>
  <c r="B67" i="5"/>
  <c r="M66" i="5"/>
  <c r="L66" i="5"/>
  <c r="B66" i="5"/>
  <c r="M65" i="5"/>
  <c r="L65" i="5"/>
  <c r="B65" i="5"/>
  <c r="M64" i="5"/>
  <c r="L64" i="5"/>
  <c r="B64" i="5"/>
  <c r="M63" i="5"/>
  <c r="L63" i="5"/>
  <c r="B63" i="5"/>
  <c r="M62" i="5"/>
  <c r="L62" i="5"/>
  <c r="B62" i="5"/>
  <c r="M61" i="5"/>
  <c r="L61" i="5"/>
  <c r="B61" i="5"/>
  <c r="M60" i="5"/>
  <c r="L60" i="5"/>
  <c r="B60" i="5"/>
  <c r="M59" i="5"/>
  <c r="L59" i="5"/>
  <c r="B59" i="5"/>
  <c r="M58" i="5"/>
  <c r="L58" i="5"/>
  <c r="B58" i="5"/>
  <c r="M57" i="5"/>
  <c r="L57" i="5"/>
  <c r="B57" i="5"/>
  <c r="M56" i="5"/>
  <c r="L56" i="5"/>
  <c r="B56" i="5"/>
  <c r="M55" i="5"/>
  <c r="L55" i="5"/>
  <c r="B55" i="5"/>
  <c r="M54" i="5"/>
  <c r="L54" i="5"/>
  <c r="B54" i="5"/>
  <c r="M53" i="5"/>
  <c r="L53" i="5"/>
  <c r="B53" i="5"/>
  <c r="M52" i="5"/>
  <c r="L52" i="5"/>
  <c r="B52" i="5"/>
  <c r="M51" i="5"/>
  <c r="L51" i="5"/>
  <c r="B51" i="5"/>
  <c r="M50" i="5"/>
  <c r="L50" i="5"/>
  <c r="B50" i="5"/>
  <c r="M49" i="5"/>
  <c r="L49" i="5"/>
  <c r="B49" i="5"/>
  <c r="M48" i="5"/>
  <c r="L48" i="5"/>
  <c r="B48" i="5"/>
  <c r="M47" i="5"/>
  <c r="L47" i="5"/>
  <c r="B47" i="5"/>
  <c r="M46" i="5"/>
  <c r="L46" i="5"/>
  <c r="B46" i="5"/>
  <c r="M45" i="5"/>
  <c r="L45" i="5"/>
  <c r="B45" i="5"/>
  <c r="M44" i="5"/>
  <c r="L44" i="5"/>
  <c r="B44" i="5"/>
  <c r="M43" i="5"/>
  <c r="L43" i="5"/>
  <c r="B43" i="5"/>
  <c r="M42" i="5"/>
  <c r="L42" i="5"/>
  <c r="B42" i="5"/>
  <c r="M41" i="5"/>
  <c r="L41" i="5"/>
  <c r="B41" i="5"/>
  <c r="M40" i="5"/>
  <c r="L40" i="5"/>
  <c r="B40" i="5"/>
  <c r="M39" i="5"/>
  <c r="L39" i="5"/>
  <c r="B39" i="5"/>
  <c r="M38" i="5"/>
  <c r="L38" i="5"/>
  <c r="B38" i="5"/>
  <c r="M37" i="5"/>
  <c r="L37" i="5"/>
  <c r="B37" i="5"/>
  <c r="M36" i="5"/>
  <c r="L36" i="5"/>
  <c r="B36" i="5"/>
  <c r="M35" i="5"/>
  <c r="L35" i="5"/>
  <c r="B35" i="5"/>
  <c r="M34" i="5"/>
  <c r="L34" i="5"/>
  <c r="B34" i="5"/>
  <c r="M33" i="5"/>
  <c r="L33" i="5"/>
  <c r="B33" i="5"/>
  <c r="M32" i="5"/>
  <c r="L32" i="5"/>
  <c r="B32" i="5"/>
  <c r="M31" i="5"/>
  <c r="L31" i="5"/>
  <c r="B31" i="5"/>
  <c r="M30" i="5"/>
  <c r="L30" i="5"/>
  <c r="B30" i="5"/>
  <c r="M29" i="5"/>
  <c r="L29" i="5"/>
  <c r="B29" i="5"/>
  <c r="M28" i="5"/>
  <c r="L28" i="5"/>
  <c r="B28" i="5"/>
  <c r="M27" i="5"/>
  <c r="L27" i="5"/>
  <c r="B27" i="5"/>
  <c r="M26" i="5"/>
  <c r="L26" i="5"/>
  <c r="B26" i="5"/>
  <c r="M25" i="5"/>
  <c r="L25" i="5"/>
  <c r="B25" i="5"/>
  <c r="M24" i="5"/>
  <c r="L24" i="5"/>
  <c r="B24" i="5"/>
  <c r="M23" i="5"/>
  <c r="L23" i="5"/>
  <c r="B23" i="5"/>
  <c r="M22" i="5"/>
  <c r="L22" i="5"/>
  <c r="B22" i="5"/>
  <c r="M21" i="5"/>
  <c r="L21" i="5"/>
  <c r="B21" i="5"/>
  <c r="M20" i="5"/>
  <c r="L20" i="5"/>
  <c r="B20" i="5"/>
  <c r="M19" i="5"/>
  <c r="L19" i="5"/>
  <c r="B19" i="5"/>
  <c r="M18" i="5"/>
  <c r="L18" i="5"/>
  <c r="B18" i="5"/>
  <c r="M17" i="5"/>
  <c r="L17" i="5"/>
  <c r="B17" i="5"/>
  <c r="M16" i="5"/>
  <c r="L16" i="5"/>
  <c r="B16" i="5"/>
  <c r="M15" i="5"/>
  <c r="L15" i="5"/>
  <c r="B15" i="5"/>
  <c r="M14" i="5"/>
  <c r="L14" i="5"/>
  <c r="B14" i="5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U38" i="1"/>
  <c r="S38" i="1"/>
  <c r="V37" i="1"/>
  <c r="U37" i="1"/>
  <c r="T37" i="1"/>
  <c r="S37" i="1"/>
  <c r="V36" i="1"/>
  <c r="U36" i="1"/>
  <c r="T36" i="1"/>
  <c r="S36" i="1"/>
  <c r="V35" i="1"/>
  <c r="U35" i="1"/>
  <c r="T35" i="1"/>
  <c r="S35" i="1"/>
  <c r="V34" i="1"/>
  <c r="U34" i="1"/>
  <c r="T34" i="1"/>
  <c r="S34" i="1"/>
  <c r="V33" i="1"/>
  <c r="U33" i="1"/>
  <c r="T33" i="1"/>
  <c r="S33" i="1"/>
  <c r="V32" i="1"/>
  <c r="U32" i="1"/>
  <c r="T32" i="1"/>
  <c r="S32" i="1"/>
  <c r="V31" i="1"/>
  <c r="U31" i="1"/>
  <c r="T31" i="1"/>
  <c r="S31" i="1"/>
  <c r="V30" i="1"/>
  <c r="U30" i="1"/>
  <c r="T30" i="1"/>
  <c r="S30" i="1"/>
  <c r="V29" i="1"/>
  <c r="U29" i="1"/>
  <c r="T29" i="1"/>
  <c r="S29" i="1"/>
  <c r="V28" i="1"/>
  <c r="U28" i="1"/>
  <c r="T28" i="1"/>
  <c r="S28" i="1"/>
  <c r="V27" i="1"/>
  <c r="U27" i="1"/>
  <c r="T27" i="1"/>
  <c r="S27" i="1"/>
  <c r="V26" i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V16" i="1"/>
  <c r="U16" i="1"/>
  <c r="T16" i="1"/>
  <c r="S16" i="1"/>
  <c r="V15" i="1"/>
  <c r="U15" i="1"/>
  <c r="T15" i="1"/>
  <c r="S15" i="1"/>
  <c r="V14" i="1"/>
  <c r="U14" i="1"/>
  <c r="T14" i="1"/>
  <c r="S14" i="1"/>
  <c r="V13" i="1"/>
  <c r="U13" i="1"/>
  <c r="T13" i="1"/>
  <c r="S13" i="1"/>
  <c r="V12" i="1"/>
  <c r="U12" i="1"/>
  <c r="T12" i="1"/>
  <c r="S12" i="1"/>
  <c r="V11" i="1"/>
  <c r="U11" i="1"/>
  <c r="T11" i="1"/>
  <c r="S11" i="1"/>
  <c r="V10" i="1"/>
  <c r="U10" i="1"/>
  <c r="T10" i="1"/>
  <c r="S10" i="1"/>
  <c r="V9" i="1"/>
  <c r="U9" i="1"/>
  <c r="T9" i="1"/>
  <c r="S9" i="1"/>
  <c r="V8" i="1"/>
  <c r="U8" i="1"/>
  <c r="T8" i="1"/>
  <c r="S8" i="1"/>
  <c r="V7" i="1"/>
  <c r="U7" i="1"/>
  <c r="T7" i="1"/>
  <c r="S7" i="1"/>
  <c r="V6" i="1"/>
  <c r="U6" i="1"/>
  <c r="T6" i="1"/>
  <c r="S6" i="1"/>
  <c r="V5" i="1"/>
  <c r="U5" i="1"/>
  <c r="T5" i="1"/>
  <c r="S5" i="1"/>
  <c r="V4" i="1"/>
  <c r="U4" i="1"/>
  <c r="S4" i="1"/>
</calcChain>
</file>

<file path=xl/sharedStrings.xml><?xml version="1.0" encoding="utf-8"?>
<sst xmlns="http://schemas.openxmlformats.org/spreadsheetml/2006/main" count="3203" uniqueCount="883">
  <si>
    <t>Id</t>
  </si>
  <si>
    <t>Mode</t>
  </si>
  <si>
    <t>LevelName</t>
  </si>
  <si>
    <t>PlaceableCount</t>
  </si>
  <si>
    <t>IsPreview</t>
  </si>
  <si>
    <t>TotalAllocation</t>
  </si>
  <si>
    <t>InitialAvailableColors</t>
  </si>
  <si>
    <t>DistinctColorCount</t>
  </si>
  <si>
    <t>ColorDuplicationRate</t>
  </si>
  <si>
    <t>ProgressAddNewColor</t>
  </si>
  <si>
    <t>NewColorsMilestones</t>
  </si>
  <si>
    <t>Extra</t>
  </si>
  <si>
    <t>TurnCount</t>
  </si>
  <si>
    <t>IceCount</t>
  </si>
  <si>
    <t>GrassCount</t>
  </si>
  <si>
    <t>WoodCount</t>
  </si>
  <si>
    <t>CameraPictureCount</t>
  </si>
  <si>
    <t>GenreXPReward</t>
  </si>
  <si>
    <t>XpReward</t>
  </si>
  <si>
    <t>GoldReward</t>
  </si>
  <si>
    <t>TokenReward</t>
  </si>
  <si>
    <t>GemReward</t>
  </si>
  <si>
    <t>#고유 ID</t>
  </si>
  <si>
    <t>#카테고리</t>
  </si>
  <si>
    <t>#스테이지 이름</t>
  </si>
  <si>
    <t>#만든 열</t>
  </si>
  <si>
    <t>#미리 보기</t>
  </si>
  <si>
    <t>#할당량</t>
  </si>
  <si>
    <t>#초기 등장 색상</t>
  </si>
  <si>
    <t>#스택 당 색상 개수</t>
  </si>
  <si>
    <t>#스택 내 같은 색상 확률</t>
  </si>
  <si>
    <t>#색상 추가 임계값</t>
  </si>
  <si>
    <t>#추가될 색상 목록</t>
  </si>
  <si>
    <t>#StackInfo 세트 번호</t>
  </si>
  <si>
    <t>#특수 퍼즐 횟수</t>
  </si>
  <si>
    <t>#얼음 기믹</t>
  </si>
  <si>
    <t>#잔디 기믹</t>
  </si>
  <si>
    <t>#판자 기믹</t>
  </si>
  <si>
    <t>#카메라 기믹</t>
  </si>
  <si>
    <t>#장르 XP 보상(int)</t>
  </si>
  <si>
    <t>#경험치 보상(int)</t>
  </si>
  <si>
    <t>#골드 보상(int)</t>
  </si>
  <si>
    <t>#가구 토큰 보상(int)</t>
  </si>
  <si>
    <t>#보석 보상(int)</t>
  </si>
  <si>
    <t>Infinity</t>
  </si>
  <si>
    <t>P 01</t>
  </si>
  <si>
    <t>Blue,Red</t>
  </si>
  <si>
    <t>2,3,3,4,4</t>
  </si>
  <si>
    <t>0.3,0.2,0.2,0.15,0.125</t>
  </si>
  <si>
    <t>2,7,10,20,30</t>
  </si>
  <si>
    <t>Yellow,Green, Orange, Purple,White</t>
  </si>
  <si>
    <t>Turn</t>
  </si>
  <si>
    <t>S 01</t>
  </si>
  <si>
    <t>10,50,80</t>
  </si>
  <si>
    <t>Yellow,White,Green</t>
  </si>
  <si>
    <t>S 02</t>
  </si>
  <si>
    <t>S 03</t>
  </si>
  <si>
    <t>S 04</t>
  </si>
  <si>
    <t>S 05</t>
  </si>
  <si>
    <t>S 06</t>
  </si>
  <si>
    <t>S 07</t>
  </si>
  <si>
    <t>S 08</t>
  </si>
  <si>
    <t>S 09</t>
  </si>
  <si>
    <t>S 10</t>
  </si>
  <si>
    <t>S 11</t>
  </si>
  <si>
    <t>S 12</t>
  </si>
  <si>
    <t>S 13</t>
  </si>
  <si>
    <t>S 14</t>
  </si>
  <si>
    <t>S 15</t>
  </si>
  <si>
    <t>S 16</t>
  </si>
  <si>
    <t>S 17</t>
  </si>
  <si>
    <t>S 18</t>
  </si>
  <si>
    <t>S 19</t>
  </si>
  <si>
    <t>S 20</t>
  </si>
  <si>
    <t>S 21</t>
  </si>
  <si>
    <t>S 22</t>
  </si>
  <si>
    <t>S 23</t>
  </si>
  <si>
    <t>S 24</t>
  </si>
  <si>
    <t>S 25</t>
  </si>
  <si>
    <t>S 26</t>
  </si>
  <si>
    <t>S 27</t>
  </si>
  <si>
    <t>S 28</t>
  </si>
  <si>
    <t>S 29</t>
  </si>
  <si>
    <t>S 30</t>
  </si>
  <si>
    <t>S 31</t>
  </si>
  <si>
    <t>S 32</t>
  </si>
  <si>
    <t>S 33</t>
  </si>
  <si>
    <t>S 34</t>
  </si>
  <si>
    <t>Normal</t>
  </si>
  <si>
    <t>10,20,30</t>
  </si>
  <si>
    <t>N 001</t>
  </si>
  <si>
    <t>16,32,48</t>
  </si>
  <si>
    <t>N 002</t>
  </si>
  <si>
    <t>15,30,45</t>
  </si>
  <si>
    <t>N 003</t>
  </si>
  <si>
    <t>N 004</t>
  </si>
  <si>
    <t>17,35,52</t>
  </si>
  <si>
    <t>N 005</t>
  </si>
  <si>
    <t>N 006</t>
  </si>
  <si>
    <t>12,25,37</t>
  </si>
  <si>
    <t>N 007</t>
  </si>
  <si>
    <t>23,46,69,92</t>
  </si>
  <si>
    <t>Yellow,White,Green,Orange</t>
  </si>
  <si>
    <t>N 008</t>
  </si>
  <si>
    <t>18,36,54,72</t>
  </si>
  <si>
    <t>N 009</t>
  </si>
  <si>
    <t>13,27,41</t>
  </si>
  <si>
    <t>N 010</t>
  </si>
  <si>
    <t>N 011</t>
  </si>
  <si>
    <t>29,58,87,116,145</t>
  </si>
  <si>
    <t>Yellow,White,Green,Orange,Purple</t>
  </si>
  <si>
    <t>N 012</t>
  </si>
  <si>
    <t>2,3</t>
  </si>
  <si>
    <t>29,58,87,116</t>
  </si>
  <si>
    <t>N 013</t>
  </si>
  <si>
    <t>20,40,60</t>
  </si>
  <si>
    <t>N 014</t>
  </si>
  <si>
    <t>N 015</t>
  </si>
  <si>
    <t>N 016</t>
  </si>
  <si>
    <t>17,34,51,68</t>
  </si>
  <si>
    <t>N 017</t>
  </si>
  <si>
    <t>N 018</t>
  </si>
  <si>
    <t>25,51,77,103,129</t>
  </si>
  <si>
    <t>N 019</t>
  </si>
  <si>
    <t>26,52,78,104</t>
  </si>
  <si>
    <t>N 020</t>
  </si>
  <si>
    <t>N 021</t>
  </si>
  <si>
    <t>Blue,Red,Yellow</t>
  </si>
  <si>
    <t>39,78,117,156</t>
  </si>
  <si>
    <t>White,Green,Orange,Purple</t>
  </si>
  <si>
    <t>N 022</t>
  </si>
  <si>
    <t>35,70,105,140</t>
  </si>
  <si>
    <t>N 023</t>
  </si>
  <si>
    <t>N 024</t>
  </si>
  <si>
    <t>30,60,90,120</t>
  </si>
  <si>
    <t>N 025</t>
  </si>
  <si>
    <t>33,67,101</t>
  </si>
  <si>
    <t>White,Green,Orange</t>
  </si>
  <si>
    <t>N 026</t>
  </si>
  <si>
    <t>32,65,97</t>
  </si>
  <si>
    <t>N 027</t>
  </si>
  <si>
    <t>N 028</t>
  </si>
  <si>
    <t>37,74,111,148</t>
  </si>
  <si>
    <t>N 029</t>
  </si>
  <si>
    <t>N 030</t>
  </si>
  <si>
    <t>N 031</t>
  </si>
  <si>
    <t>25,50,75</t>
  </si>
  <si>
    <t>N 032</t>
  </si>
  <si>
    <t>34,68,102,136</t>
  </si>
  <si>
    <t>N 033</t>
  </si>
  <si>
    <t>31,62,93</t>
  </si>
  <si>
    <t>N 034</t>
  </si>
  <si>
    <t>N 035</t>
  </si>
  <si>
    <t>N 036</t>
  </si>
  <si>
    <t>N 037</t>
  </si>
  <si>
    <t>35,70,105</t>
  </si>
  <si>
    <t>N 038</t>
  </si>
  <si>
    <t>19,38,57,76</t>
  </si>
  <si>
    <t>N 039</t>
  </si>
  <si>
    <t>N 040</t>
  </si>
  <si>
    <t>27,55,82</t>
  </si>
  <si>
    <t>N 041</t>
  </si>
  <si>
    <t>N 042</t>
  </si>
  <si>
    <t>N 043</t>
  </si>
  <si>
    <t>N 044</t>
  </si>
  <si>
    <t>N 045</t>
  </si>
  <si>
    <t>32,64,96,128</t>
  </si>
  <si>
    <t>N 046</t>
  </si>
  <si>
    <t>N 047</t>
  </si>
  <si>
    <t>N 048</t>
  </si>
  <si>
    <t>N 049</t>
  </si>
  <si>
    <t>N 050</t>
  </si>
  <si>
    <t>36,72,108</t>
  </si>
  <si>
    <t>N 051</t>
  </si>
  <si>
    <t>N 052</t>
  </si>
  <si>
    <t>N 053</t>
  </si>
  <si>
    <t>26,52,78</t>
  </si>
  <si>
    <t>N 054</t>
  </si>
  <si>
    <t>30,60,90</t>
  </si>
  <si>
    <t>N 055</t>
  </si>
  <si>
    <t>N 056</t>
  </si>
  <si>
    <t>N 057</t>
  </si>
  <si>
    <t>N 058</t>
  </si>
  <si>
    <t>N 059</t>
  </si>
  <si>
    <t>N 060</t>
  </si>
  <si>
    <t>N 061</t>
  </si>
  <si>
    <t>N 062</t>
  </si>
  <si>
    <t>28,57,86</t>
  </si>
  <si>
    <t>N 063</t>
  </si>
  <si>
    <t>36,72,108,144</t>
  </si>
  <si>
    <t>N 064</t>
  </si>
  <si>
    <t>N 065</t>
  </si>
  <si>
    <t>N 066</t>
  </si>
  <si>
    <t>N 067</t>
  </si>
  <si>
    <t>N 068</t>
  </si>
  <si>
    <t>N 069</t>
  </si>
  <si>
    <t>23,47,71</t>
  </si>
  <si>
    <t>N 070</t>
  </si>
  <si>
    <t>N 071</t>
  </si>
  <si>
    <t>N 072</t>
  </si>
  <si>
    <t>N 073</t>
  </si>
  <si>
    <t>N 074</t>
  </si>
  <si>
    <t>N 075</t>
  </si>
  <si>
    <t>N 076</t>
  </si>
  <si>
    <t>N 077</t>
  </si>
  <si>
    <t>N 078</t>
  </si>
  <si>
    <t>N 079</t>
  </si>
  <si>
    <t>37,75,112</t>
  </si>
  <si>
    <t>N 080</t>
  </si>
  <si>
    <t>N 081</t>
  </si>
  <si>
    <t>N 082</t>
  </si>
  <si>
    <t>N 083</t>
  </si>
  <si>
    <t>N 084</t>
  </si>
  <si>
    <t>18,37,56</t>
  </si>
  <si>
    <t>N 085</t>
  </si>
  <si>
    <t>N 086</t>
  </si>
  <si>
    <t>N 087</t>
  </si>
  <si>
    <t>N 088</t>
  </si>
  <si>
    <t>N 089</t>
  </si>
  <si>
    <t>N 090</t>
  </si>
  <si>
    <t>N 091</t>
  </si>
  <si>
    <t>N 092</t>
  </si>
  <si>
    <t>N 093</t>
  </si>
  <si>
    <t>40,80,120,160</t>
  </si>
  <si>
    <t>N 094</t>
  </si>
  <si>
    <t>N 095</t>
  </si>
  <si>
    <t>N 096</t>
  </si>
  <si>
    <t>N 097</t>
  </si>
  <si>
    <t>N 098</t>
  </si>
  <si>
    <t>N 099</t>
  </si>
  <si>
    <t>N 100</t>
  </si>
  <si>
    <t>N 101</t>
  </si>
  <si>
    <t>N 102</t>
  </si>
  <si>
    <t>N 103</t>
  </si>
  <si>
    <t>N 104</t>
  </si>
  <si>
    <t>N 105</t>
  </si>
  <si>
    <t>N 106</t>
  </si>
  <si>
    <t>N 107</t>
  </si>
  <si>
    <t>N 108</t>
  </si>
  <si>
    <t>N 109</t>
  </si>
  <si>
    <t>N 110</t>
  </si>
  <si>
    <t>N 111</t>
  </si>
  <si>
    <t>N 112</t>
  </si>
  <si>
    <t>38,76,114,152</t>
  </si>
  <si>
    <t>N 113</t>
  </si>
  <si>
    <t>N 114</t>
  </si>
  <si>
    <t>N 115</t>
  </si>
  <si>
    <t>N 116</t>
  </si>
  <si>
    <t>N 117</t>
  </si>
  <si>
    <t>N 118</t>
  </si>
  <si>
    <t>N 119</t>
  </si>
  <si>
    <t>N 120</t>
  </si>
  <si>
    <t>33,66,99,132</t>
  </si>
  <si>
    <t>N 121</t>
  </si>
  <si>
    <t>N 122</t>
  </si>
  <si>
    <t>N 123</t>
  </si>
  <si>
    <t>N 124</t>
  </si>
  <si>
    <t>N 125</t>
  </si>
  <si>
    <t>N 126</t>
  </si>
  <si>
    <t>N 127</t>
  </si>
  <si>
    <t>N 128</t>
  </si>
  <si>
    <t>N 129</t>
  </si>
  <si>
    <t>N 130</t>
  </si>
  <si>
    <t>N 131</t>
  </si>
  <si>
    <t>31,62,93,124</t>
  </si>
  <si>
    <t>N 132</t>
  </si>
  <si>
    <t>N 133</t>
  </si>
  <si>
    <t>N 134</t>
  </si>
  <si>
    <t>N 135</t>
  </si>
  <si>
    <t>N 136</t>
  </si>
  <si>
    <t>N 137</t>
  </si>
  <si>
    <t>N 138</t>
  </si>
  <si>
    <t>N 139</t>
  </si>
  <si>
    <t>N 140</t>
  </si>
  <si>
    <t>N 141</t>
  </si>
  <si>
    <t>N 142</t>
  </si>
  <si>
    <t>N 143</t>
  </si>
  <si>
    <t>N 144</t>
  </si>
  <si>
    <t>N 145</t>
  </si>
  <si>
    <t>N 146</t>
  </si>
  <si>
    <t>N 147</t>
  </si>
  <si>
    <t>N 148</t>
  </si>
  <si>
    <t>N 149</t>
  </si>
  <si>
    <t>N 150</t>
  </si>
  <si>
    <t>N 151</t>
  </si>
  <si>
    <t>N 152</t>
  </si>
  <si>
    <t>N 153</t>
  </si>
  <si>
    <t>N 154</t>
  </si>
  <si>
    <t>N 155</t>
  </si>
  <si>
    <t>N 156</t>
  </si>
  <si>
    <t>N 157</t>
  </si>
  <si>
    <t>N 158</t>
  </si>
  <si>
    <t>N 159</t>
  </si>
  <si>
    <t>N 160</t>
  </si>
  <si>
    <t>N 161</t>
  </si>
  <si>
    <t>N 162</t>
  </si>
  <si>
    <t>N 163</t>
  </si>
  <si>
    <t>N 164</t>
  </si>
  <si>
    <t>N 165</t>
  </si>
  <si>
    <t>N 166</t>
  </si>
  <si>
    <t>N 167</t>
  </si>
  <si>
    <t>N 168</t>
  </si>
  <si>
    <t>N 169</t>
  </si>
  <si>
    <t>N 170</t>
  </si>
  <si>
    <t>N 171</t>
  </si>
  <si>
    <t>N 172</t>
  </si>
  <si>
    <t>N 173</t>
  </si>
  <si>
    <t>N 174</t>
  </si>
  <si>
    <t>N 175</t>
  </si>
  <si>
    <t>N 176</t>
  </si>
  <si>
    <t>N 177</t>
  </si>
  <si>
    <t>N 178</t>
  </si>
  <si>
    <t>N 179</t>
  </si>
  <si>
    <t>N 180</t>
  </si>
  <si>
    <t>N 181</t>
  </si>
  <si>
    <t>N 182</t>
  </si>
  <si>
    <t>N 183</t>
  </si>
  <si>
    <t>N 184</t>
  </si>
  <si>
    <t>N 185</t>
  </si>
  <si>
    <t>N 186</t>
  </si>
  <si>
    <t>N 187</t>
  </si>
  <si>
    <t>N 188</t>
  </si>
  <si>
    <t>N 189</t>
  </si>
  <si>
    <t>N 190</t>
  </si>
  <si>
    <t>N 191</t>
  </si>
  <si>
    <t>N 192</t>
  </si>
  <si>
    <t>N 193</t>
  </si>
  <si>
    <t>N 194</t>
  </si>
  <si>
    <t>N 195</t>
  </si>
  <si>
    <t>N 196</t>
  </si>
  <si>
    <t>N 197</t>
  </si>
  <si>
    <t>N 198</t>
  </si>
  <si>
    <t>N 199</t>
  </si>
  <si>
    <t>N 200</t>
  </si>
  <si>
    <t>N 201</t>
  </si>
  <si>
    <t>N 202</t>
  </si>
  <si>
    <t>N 203</t>
  </si>
  <si>
    <t>N 204</t>
  </si>
  <si>
    <t>N 205</t>
  </si>
  <si>
    <t>N 206</t>
  </si>
  <si>
    <t>N 207</t>
  </si>
  <si>
    <t>N 208</t>
  </si>
  <si>
    <t>N 209</t>
  </si>
  <si>
    <t>N 210</t>
  </si>
  <si>
    <t>N 211</t>
  </si>
  <si>
    <t>N 212</t>
  </si>
  <si>
    <t>N 213</t>
  </si>
  <si>
    <t>N 214</t>
  </si>
  <si>
    <t>N 215</t>
  </si>
  <si>
    <t>N 216</t>
  </si>
  <si>
    <t>N 217</t>
  </si>
  <si>
    <t>N 218</t>
  </si>
  <si>
    <t>N 219</t>
  </si>
  <si>
    <t>N 220</t>
  </si>
  <si>
    <t>N 221</t>
  </si>
  <si>
    <t>N 222</t>
  </si>
  <si>
    <t>N 223</t>
  </si>
  <si>
    <t>N 224</t>
  </si>
  <si>
    <t>N 225</t>
  </si>
  <si>
    <t>N 226</t>
  </si>
  <si>
    <t>N 227</t>
  </si>
  <si>
    <t>N 228</t>
  </si>
  <si>
    <t>N 229</t>
  </si>
  <si>
    <t>N 230</t>
  </si>
  <si>
    <t>N 231</t>
  </si>
  <si>
    <t>N 232</t>
  </si>
  <si>
    <t>N 233</t>
  </si>
  <si>
    <t>N 234</t>
  </si>
  <si>
    <t>N 235</t>
  </si>
  <si>
    <t>N 236</t>
  </si>
  <si>
    <t>N 237</t>
  </si>
  <si>
    <t>N 238</t>
  </si>
  <si>
    <t>N 239</t>
  </si>
  <si>
    <t>N 240</t>
  </si>
  <si>
    <t>N 241</t>
  </si>
  <si>
    <t>N 242</t>
  </si>
  <si>
    <t>N 243</t>
  </si>
  <si>
    <t>N 244</t>
  </si>
  <si>
    <t>N 245</t>
  </si>
  <si>
    <t>N 246</t>
  </si>
  <si>
    <t>N 247</t>
  </si>
  <si>
    <t>N 248</t>
  </si>
  <si>
    <t>N 249</t>
  </si>
  <si>
    <t>N 250</t>
  </si>
  <si>
    <t>N 251</t>
  </si>
  <si>
    <t>N 252</t>
  </si>
  <si>
    <t>N 253</t>
  </si>
  <si>
    <t>N 254</t>
  </si>
  <si>
    <t>N 255</t>
  </si>
  <si>
    <t>N 256</t>
  </si>
  <si>
    <t>N 257</t>
  </si>
  <si>
    <t>N 258</t>
  </si>
  <si>
    <t>N 259</t>
  </si>
  <si>
    <t>N 260</t>
  </si>
  <si>
    <t>N 261</t>
  </si>
  <si>
    <t>N 262</t>
  </si>
  <si>
    <t>N 263</t>
  </si>
  <si>
    <t>N 264</t>
  </si>
  <si>
    <t>N 265</t>
  </si>
  <si>
    <t>N 266</t>
  </si>
  <si>
    <t>N 267</t>
  </si>
  <si>
    <t>N 268</t>
  </si>
  <si>
    <t>N 269</t>
  </si>
  <si>
    <t>N 270</t>
  </si>
  <si>
    <t>N 271</t>
  </si>
  <si>
    <t>N 272</t>
  </si>
  <si>
    <t>N 273</t>
  </si>
  <si>
    <t>N 274</t>
  </si>
  <si>
    <t>N 275</t>
  </si>
  <si>
    <t>N 276</t>
  </si>
  <si>
    <t>N 277</t>
  </si>
  <si>
    <t>N 278</t>
  </si>
  <si>
    <t>N 279</t>
  </si>
  <si>
    <t>N 280</t>
  </si>
  <si>
    <t>N 281</t>
  </si>
  <si>
    <t>N 282</t>
  </si>
  <si>
    <t>N 283</t>
  </si>
  <si>
    <t>N 284</t>
  </si>
  <si>
    <t>N 285</t>
  </si>
  <si>
    <t>N 286</t>
  </si>
  <si>
    <t>N 287</t>
  </si>
  <si>
    <t>N 288</t>
  </si>
  <si>
    <t>N 289</t>
  </si>
  <si>
    <t>N 290</t>
  </si>
  <si>
    <t>N 291</t>
  </si>
  <si>
    <t>N 292</t>
  </si>
  <si>
    <t>N 293</t>
  </si>
  <si>
    <t>N 294</t>
  </si>
  <si>
    <t>N 295</t>
  </si>
  <si>
    <t>N 296</t>
  </si>
  <si>
    <t>N 297</t>
  </si>
  <si>
    <t>N 298</t>
  </si>
  <si>
    <t>N 299</t>
  </si>
  <si>
    <t>N 300</t>
  </si>
  <si>
    <t>N 301</t>
  </si>
  <si>
    <t>N 302</t>
  </si>
  <si>
    <t>N 303</t>
  </si>
  <si>
    <t>N 304</t>
  </si>
  <si>
    <t>N 305</t>
  </si>
  <si>
    <t>N 306</t>
  </si>
  <si>
    <t>N 307</t>
  </si>
  <si>
    <t>N 308</t>
  </si>
  <si>
    <t>N 309</t>
  </si>
  <si>
    <t>N 310</t>
  </si>
  <si>
    <t>N 311</t>
  </si>
  <si>
    <t>N 312</t>
  </si>
  <si>
    <t>N 313</t>
  </si>
  <si>
    <t>N 314</t>
  </si>
  <si>
    <t>N 315</t>
  </si>
  <si>
    <t>N 316</t>
  </si>
  <si>
    <t>N 317</t>
  </si>
  <si>
    <t>N 318</t>
  </si>
  <si>
    <t>N 319</t>
  </si>
  <si>
    <t>N 320</t>
  </si>
  <si>
    <t>N 321</t>
  </si>
  <si>
    <t>N 322</t>
  </si>
  <si>
    <t>N 323</t>
  </si>
  <si>
    <t>N 324</t>
  </si>
  <si>
    <t>N 325</t>
  </si>
  <si>
    <t>N 326</t>
  </si>
  <si>
    <t>N 327</t>
  </si>
  <si>
    <t>N 328</t>
  </si>
  <si>
    <t>N 329</t>
  </si>
  <si>
    <t>N 330</t>
  </si>
  <si>
    <t>N 331</t>
  </si>
  <si>
    <t>N 332</t>
  </si>
  <si>
    <t>N 333</t>
  </si>
  <si>
    <t>N 334</t>
  </si>
  <si>
    <t>N 335</t>
  </si>
  <si>
    <t>N 336</t>
  </si>
  <si>
    <t>N 337</t>
  </si>
  <si>
    <t>N 338</t>
  </si>
  <si>
    <t>N 339</t>
  </si>
  <si>
    <t>N 340</t>
  </si>
  <si>
    <t>N 341</t>
  </si>
  <si>
    <t>N 342</t>
  </si>
  <si>
    <t>N 343</t>
  </si>
  <si>
    <t>N 344</t>
  </si>
  <si>
    <t>N 345</t>
  </si>
  <si>
    <t>N 346</t>
  </si>
  <si>
    <t>N 347</t>
  </si>
  <si>
    <t>N 348</t>
  </si>
  <si>
    <t>N 349</t>
  </si>
  <si>
    <t>N 350</t>
  </si>
  <si>
    <t>N 351</t>
  </si>
  <si>
    <t>N 352</t>
  </si>
  <si>
    <t>N 353</t>
  </si>
  <si>
    <t>N 354</t>
  </si>
  <si>
    <t>N 355</t>
  </si>
  <si>
    <t>N 356</t>
  </si>
  <si>
    <t>N 357</t>
  </si>
  <si>
    <t>N 358</t>
  </si>
  <si>
    <t>N 359</t>
  </si>
  <si>
    <t>N 360</t>
  </si>
  <si>
    <t>N 361</t>
  </si>
  <si>
    <t>N 362</t>
  </si>
  <si>
    <t>N 363</t>
  </si>
  <si>
    <t>N 364</t>
  </si>
  <si>
    <t>N 365</t>
  </si>
  <si>
    <t>N 366</t>
  </si>
  <si>
    <t>N 367</t>
  </si>
  <si>
    <t>N 368</t>
  </si>
  <si>
    <t>N 369</t>
  </si>
  <si>
    <t>N 370</t>
  </si>
  <si>
    <t>N 371</t>
  </si>
  <si>
    <t>N 372</t>
  </si>
  <si>
    <t>N 373</t>
  </si>
  <si>
    <t>N 374</t>
  </si>
  <si>
    <t>N 375</t>
  </si>
  <si>
    <t>N 376</t>
  </si>
  <si>
    <t>N 377</t>
  </si>
  <si>
    <t>N 378</t>
  </si>
  <si>
    <t>N 379</t>
  </si>
  <si>
    <t>N 380</t>
  </si>
  <si>
    <t>N 381</t>
  </si>
  <si>
    <t>N 382</t>
  </si>
  <si>
    <t>N 383</t>
  </si>
  <si>
    <t>N 384</t>
  </si>
  <si>
    <t>N 385</t>
  </si>
  <si>
    <t>N 386</t>
  </si>
  <si>
    <t>N 387</t>
  </si>
  <si>
    <t>N 388</t>
  </si>
  <si>
    <t>N 389</t>
  </si>
  <si>
    <t>N 390</t>
  </si>
  <si>
    <t>N 391</t>
  </si>
  <si>
    <t>N 392</t>
  </si>
  <si>
    <t>N 393</t>
  </si>
  <si>
    <t>N 394</t>
  </si>
  <si>
    <t>N 395</t>
  </si>
  <si>
    <t>N 396</t>
  </si>
  <si>
    <t>N 397</t>
  </si>
  <si>
    <t>N 398</t>
  </si>
  <si>
    <t>N 399</t>
  </si>
  <si>
    <t>N 400</t>
  </si>
  <si>
    <t>N 401</t>
  </si>
  <si>
    <t>N 402</t>
  </si>
  <si>
    <t>N 403</t>
  </si>
  <si>
    <t>N 404</t>
  </si>
  <si>
    <t>N 405</t>
  </si>
  <si>
    <t>N 406</t>
  </si>
  <si>
    <t>N 407</t>
  </si>
  <si>
    <t>N 408</t>
  </si>
  <si>
    <t>N 409</t>
  </si>
  <si>
    <t>N 410</t>
  </si>
  <si>
    <t>N 411</t>
  </si>
  <si>
    <t>N 412</t>
  </si>
  <si>
    <t>N 413</t>
  </si>
  <si>
    <t>N 414</t>
  </si>
  <si>
    <t>N 415</t>
  </si>
  <si>
    <t>N 416</t>
  </si>
  <si>
    <t>N 417</t>
  </si>
  <si>
    <t>N 418</t>
  </si>
  <si>
    <t>N 419</t>
  </si>
  <si>
    <t>N 420</t>
  </si>
  <si>
    <t>N 421</t>
  </si>
  <si>
    <t>N 422</t>
  </si>
  <si>
    <t>N 423</t>
  </si>
  <si>
    <t>N 424</t>
  </si>
  <si>
    <t>N 425</t>
  </si>
  <si>
    <t>N 426</t>
  </si>
  <si>
    <t>N 427</t>
  </si>
  <si>
    <t>N 428</t>
  </si>
  <si>
    <t>N 429</t>
  </si>
  <si>
    <t>N 430</t>
  </si>
  <si>
    <t>N 431</t>
  </si>
  <si>
    <t>N 432</t>
  </si>
  <si>
    <t>N 433</t>
  </si>
  <si>
    <t>N 434</t>
  </si>
  <si>
    <t>N 435</t>
  </si>
  <si>
    <t>N 436</t>
  </si>
  <si>
    <t>N 437</t>
  </si>
  <si>
    <t>N 438</t>
  </si>
  <si>
    <t>N 439</t>
  </si>
  <si>
    <t>N 440</t>
  </si>
  <si>
    <t>N 441</t>
  </si>
  <si>
    <t>N 442</t>
  </si>
  <si>
    <t>N 443</t>
  </si>
  <si>
    <t>N 444</t>
  </si>
  <si>
    <t>N 445</t>
  </si>
  <si>
    <t>N 446</t>
  </si>
  <si>
    <t>N 447</t>
  </si>
  <si>
    <t>N 448</t>
  </si>
  <si>
    <t>N 449</t>
  </si>
  <si>
    <t>N 450</t>
  </si>
  <si>
    <t>N 451</t>
  </si>
  <si>
    <t>N 452</t>
  </si>
  <si>
    <t>N 453</t>
  </si>
  <si>
    <t>N 454</t>
  </si>
  <si>
    <t>N 455</t>
  </si>
  <si>
    <t>N 456</t>
  </si>
  <si>
    <t>N 457</t>
  </si>
  <si>
    <t>N 458</t>
  </si>
  <si>
    <t>N 459</t>
  </si>
  <si>
    <t>N 460</t>
  </si>
  <si>
    <t>N 461</t>
  </si>
  <si>
    <t>N 462</t>
  </si>
  <si>
    <t>N 463</t>
  </si>
  <si>
    <t>N 464</t>
  </si>
  <si>
    <t>N 465</t>
  </si>
  <si>
    <t>N 466</t>
  </si>
  <si>
    <t>N 467</t>
  </si>
  <si>
    <t>N 468</t>
  </si>
  <si>
    <t>N 469</t>
  </si>
  <si>
    <t>N 470</t>
  </si>
  <si>
    <t>N 471</t>
  </si>
  <si>
    <t>N 472</t>
  </si>
  <si>
    <t>N 473</t>
  </si>
  <si>
    <t>N 474</t>
  </si>
  <si>
    <t>N 475</t>
  </si>
  <si>
    <t>N 476</t>
  </si>
  <si>
    <t>N 477</t>
  </si>
  <si>
    <t>N 478</t>
  </si>
  <si>
    <t>N 479</t>
  </si>
  <si>
    <t>N 480</t>
  </si>
  <si>
    <t>N 481</t>
  </si>
  <si>
    <t>N 482</t>
  </si>
  <si>
    <t>N 483</t>
  </si>
  <si>
    <t>N 484</t>
  </si>
  <si>
    <t>N 485</t>
  </si>
  <si>
    <t>N 486</t>
  </si>
  <si>
    <t>N 487</t>
  </si>
  <si>
    <t>N 488</t>
  </si>
  <si>
    <t>N 489</t>
  </si>
  <si>
    <t>N 490</t>
  </si>
  <si>
    <t>N 491</t>
  </si>
  <si>
    <t>N 492</t>
  </si>
  <si>
    <t>N 493</t>
  </si>
  <si>
    <t>N 494</t>
  </si>
  <si>
    <t>N 495</t>
  </si>
  <si>
    <t>N 496</t>
  </si>
  <si>
    <t>N 497</t>
  </si>
  <si>
    <t>N 498</t>
  </si>
  <si>
    <t>N 499</t>
  </si>
  <si>
    <t>N 500</t>
  </si>
  <si>
    <t>BookId</t>
  </si>
  <si>
    <t>#ID</t>
  </si>
  <si>
    <t>#장르 ID값</t>
  </si>
  <si>
    <t>StageOrder</t>
  </si>
  <si>
    <t>ChapterId</t>
  </si>
  <si>
    <t>InChapterOrder</t>
  </si>
  <si>
    <t>StageId</t>
  </si>
  <si>
    <t>Title</t>
  </si>
  <si>
    <t>Desc</t>
  </si>
  <si>
    <t>CutSceneId</t>
  </si>
  <si>
    <t>#전체 오더값</t>
  </si>
  <si>
    <t>#ChapterInfo.Id</t>
  </si>
  <si>
    <t>#그룹 내 순서</t>
  </si>
  <si>
    <t>#Stage.Id</t>
  </si>
  <si>
    <t>#스테이지 표기(string)</t>
  </si>
  <si>
    <t>#설명(string)</t>
  </si>
  <si>
    <t>#컷씬 ID(int)</t>
  </si>
  <si>
    <t>무한 모드</t>
  </si>
  <si>
    <t>1-1</t>
  </si>
  <si>
    <t>1-2</t>
  </si>
  <si>
    <t>첫 번째 페이지</t>
  </si>
  <si>
    <t>1-3</t>
  </si>
  <si>
    <t>1-4</t>
  </si>
  <si>
    <t>1-5</t>
  </si>
  <si>
    <t>1-6</t>
  </si>
  <si>
    <t>1-7</t>
  </si>
  <si>
    <t>두 번째 페이지</t>
  </si>
  <si>
    <t>1-8</t>
  </si>
  <si>
    <t>1-9</t>
  </si>
  <si>
    <t>1-10</t>
  </si>
  <si>
    <t>1-11</t>
  </si>
  <si>
    <t>1-12</t>
  </si>
  <si>
    <t>1-13</t>
  </si>
  <si>
    <t>1-14</t>
  </si>
  <si>
    <t>1-15</t>
  </si>
  <si>
    <t>세 번째 페이지</t>
  </si>
  <si>
    <t>2-1</t>
  </si>
  <si>
    <t>2-2</t>
  </si>
  <si>
    <t>2-3</t>
  </si>
  <si>
    <t>2-4</t>
  </si>
  <si>
    <t>2-5</t>
  </si>
  <si>
    <t>2-6</t>
  </si>
  <si>
    <t>2-7</t>
  </si>
  <si>
    <t>네 번째 페이지</t>
  </si>
  <si>
    <t>2-8</t>
  </si>
  <si>
    <t>2-9</t>
  </si>
  <si>
    <t>2-10</t>
  </si>
  <si>
    <t>2-11</t>
  </si>
  <si>
    <t>2-12</t>
  </si>
  <si>
    <t>2-13</t>
  </si>
  <si>
    <t>2-14</t>
  </si>
  <si>
    <t>2-15</t>
  </si>
  <si>
    <t>다섯 번째 페이지</t>
  </si>
  <si>
    <t>3-1</t>
  </si>
  <si>
    <t>3-2</t>
  </si>
  <si>
    <t>3-3</t>
  </si>
  <si>
    <t>3-4</t>
  </si>
  <si>
    <t>3-5</t>
  </si>
  <si>
    <t>3-6</t>
  </si>
  <si>
    <t>3-7</t>
  </si>
  <si>
    <t>여섯 번째 페이지</t>
  </si>
  <si>
    <t>3-8</t>
  </si>
  <si>
    <t>3-9</t>
  </si>
  <si>
    <t>3-10</t>
  </si>
  <si>
    <t>3-11</t>
  </si>
  <si>
    <t>3-12</t>
  </si>
  <si>
    <t>3-13</t>
  </si>
  <si>
    <t>3-14</t>
  </si>
  <si>
    <t>3-15</t>
  </si>
  <si>
    <t>일곱 번째 페이지</t>
  </si>
  <si>
    <t>Stack1</t>
  </si>
  <si>
    <t>Stack2</t>
  </si>
  <si>
    <t>Stack3</t>
  </si>
  <si>
    <t>Stack4</t>
  </si>
  <si>
    <t>Stack5</t>
  </si>
  <si>
    <t>Stack6</t>
  </si>
  <si>
    <t>Yellow,Yellow,Yellow</t>
  </si>
  <si>
    <t>Orange,Orange,Orange</t>
  </si>
  <si>
    <t>Red,Red,Red</t>
  </si>
  <si>
    <t>Yellow, Yellow</t>
  </si>
  <si>
    <t>Blue,Blue</t>
  </si>
  <si>
    <t>Red,Red</t>
  </si>
  <si>
    <t>Green, Green, Green, Blue</t>
  </si>
  <si>
    <t>Blue, Blue, Blue, Red</t>
  </si>
  <si>
    <t>Red, Red, Yellow, Yellow, Yellow, Yellow</t>
  </si>
  <si>
    <t>Blue, Blue,Yellow, Yellow, Yellow, Yellow</t>
  </si>
  <si>
    <t>Green, Green,Yellow, Yellow</t>
  </si>
  <si>
    <t xml:space="preserve">Red, Red, Red, Red,Blue, Blue, Blue, Blue </t>
  </si>
  <si>
    <t>Green, Green</t>
  </si>
  <si>
    <t>Yellow, Yellow, Green, Green</t>
  </si>
  <si>
    <t>Yellow,Yellow,Blue,Blue,Green</t>
  </si>
  <si>
    <t>Blue,Blue,Blue,Blue,Green, Green,Green</t>
  </si>
  <si>
    <t>Green</t>
  </si>
  <si>
    <t>Yellow</t>
  </si>
  <si>
    <t>Blue</t>
  </si>
  <si>
    <t>Green, Green, Green</t>
  </si>
  <si>
    <t>Yellow, Yellow, Yellow, Yellow</t>
  </si>
  <si>
    <t>Green,Green,Green,Blue, Blue, Blue, Blue</t>
  </si>
  <si>
    <t>Blue,Blue,Blue</t>
  </si>
  <si>
    <t>Blue,Yellow, Yellow, Yellow, Yellow</t>
  </si>
  <si>
    <t>Green,Green,Green,Green,Green,Green</t>
  </si>
  <si>
    <t>Blue, Blue</t>
  </si>
  <si>
    <t>Red, Red, Red</t>
  </si>
  <si>
    <t>Yellow, Yellow, Yellow</t>
  </si>
  <si>
    <t>Blue, Blue, Blue, Blue, Blue, Red, Red</t>
  </si>
  <si>
    <t>Yellow, Yellow, Yellow, Green, Green, Green,Red, Red, Red</t>
  </si>
  <si>
    <t>Green, Green, Green, Green</t>
  </si>
  <si>
    <t>Yellow,Green</t>
  </si>
  <si>
    <t xml:space="preserve">Blue, Blue, Blue, Green, Green, Green, Green, Green, Green </t>
  </si>
  <si>
    <t>Blue, Blue, Blue, Yellow, Yellow, Yellow, Yellow</t>
  </si>
  <si>
    <t>Green, Green , Green</t>
  </si>
  <si>
    <t>Blue, Blue, Blue, Blue, Blue, Blue, Yellow, Yellow</t>
  </si>
  <si>
    <t>Blue, Blue, Blue, Blue, Blue</t>
  </si>
  <si>
    <t>Green, Green, Green,Yellow</t>
  </si>
  <si>
    <t>Yellow, Yellow, Yellow, Yellow, Green, Green, Green</t>
  </si>
  <si>
    <t>Blue, Blue, Blue,Green, Green, Green, Green, Green, Green, Green</t>
  </si>
  <si>
    <t>Blue,Blue, Blue</t>
  </si>
  <si>
    <t>Blue, Blue, Yellow, Yellow, Yellow</t>
  </si>
  <si>
    <t>Green, Green, Blue, Blue</t>
  </si>
  <si>
    <t>Blue, Blue, Yellow, Yellow, Yellow, Yellow, Yellow</t>
  </si>
  <si>
    <t>Red,Red,Green,Green</t>
  </si>
  <si>
    <t>Green,Yellow,Yellow,Yellow,Yellow</t>
  </si>
  <si>
    <t>Red,Red,Green</t>
  </si>
  <si>
    <t>Red,Red,Blue, Blue,Blue, Blue,Blue, Blue,Blue</t>
  </si>
  <si>
    <t>Yellow,Yellow,Yellow,Yellow,Green,Green,Green</t>
  </si>
  <si>
    <t>Red,Red,Red,Red,Blue,Blue,Blue,Blue,Blue</t>
  </si>
  <si>
    <t>Red,Blue, Blue,Blue, Blue,Blue, Blue</t>
  </si>
  <si>
    <t>Red,Red,Blue</t>
  </si>
  <si>
    <t>Green,Green,Blue,Blue</t>
  </si>
  <si>
    <t>Red,Red,Blue,Blue,Blue,Blue</t>
  </si>
  <si>
    <t>Red,Blue,Blue,Green,Green,Green,Green,Green,Green</t>
  </si>
  <si>
    <t>Red,Red,Red,Red,Red,Red,Blue,Blue,Blue,Blue</t>
  </si>
  <si>
    <t>Blue,Blue,Green,Green</t>
  </si>
  <si>
    <t>Blue,Blue,Red,Red,Red</t>
  </si>
  <si>
    <t>Green,Green,Blue,Blue,Blue,Blue</t>
  </si>
  <si>
    <t>Blue,Blue,Red,Red</t>
  </si>
  <si>
    <t>Red,Red,Red,Blue, Blue,Blue</t>
  </si>
  <si>
    <t>Green,Green,Green</t>
  </si>
  <si>
    <t>Green,Green,Red,Red</t>
  </si>
  <si>
    <t>Red,Red,Green,Green,Green</t>
  </si>
  <si>
    <t>Green,Green,Blue,Blue,Blue,Blue,Blue</t>
  </si>
  <si>
    <t>Red,Red,Red,Red,Green,Green,Green,Green,Green</t>
  </si>
  <si>
    <t>Green,Blue,Blue,Blue</t>
  </si>
  <si>
    <t>Blue,Blue,Blue,Blue,Blue</t>
  </si>
  <si>
    <t>Red,Green,Green,Green,Green</t>
  </si>
  <si>
    <t>Red,Blue,Blue,Blue,Blue</t>
  </si>
  <si>
    <t>Red,Blue,Blue,Blue</t>
  </si>
  <si>
    <t>Orange,Green,Green,Green</t>
  </si>
  <si>
    <t>Blue,Blue,Blue,Blue</t>
  </si>
  <si>
    <t>Orange,Green,Red</t>
  </si>
  <si>
    <t>Orange,Orange,Orange,Orange,Orange,Orange,Orange,Green,Green,Green,Green,Blue,Blue</t>
  </si>
  <si>
    <t>Orange,Orange,Orange,Orange,Green,Green,Green,Green,Blue,Blue</t>
  </si>
  <si>
    <t>Orange,Green,Green,Green,Blue,Blue,Blue,Red,Red</t>
  </si>
  <si>
    <t>Green,Green,Green,Green,Red,Red,Red,Red</t>
  </si>
  <si>
    <t>■ 가중치 설정  (파란 셀 수정 가능)</t>
  </si>
  <si>
    <t>파라미터</t>
  </si>
  <si>
    <t>가중치(pt)</t>
  </si>
  <si>
    <t>방향</t>
  </si>
  <si>
    <t>정규화 Min</t>
  </si>
  <si>
    <t>정규화 Max</t>
  </si>
  <si>
    <t>↑어려움</t>
  </si>
  <si>
    <t>초기 색상 수</t>
  </si>
  <si>
    <t>스택당 색상 수 (avg)</t>
  </si>
  <si>
    <t>색 중복 확률 (역수 적용)</t>
  </si>
  <si>
    <t>↓쉬움→역수</t>
  </si>
  <si>
    <t>첫 추가 임계값 (역수)</t>
  </si>
  <si>
    <t>↓낮을수록↑</t>
  </si>
  <si>
    <t>추가 색상 수</t>
  </si>
  <si>
    <t>기믹 비율 (합/Alloc)</t>
  </si>
  <si>
    <t>총 가중치 합계</t>
  </si>
  <si>
    <t>레벨 번호</t>
  </si>
  <si>
    <t>TotalAlloc</t>
  </si>
  <si>
    <t>초기색수</t>
  </si>
  <si>
    <t>스택당색평균</t>
  </si>
  <si>
    <t>중복률평균</t>
  </si>
  <si>
    <t>첫임계값</t>
  </si>
  <si>
    <t>추가색수</t>
  </si>
  <si>
    <t>기믹합계</t>
  </si>
  <si>
    <t>기믹비율</t>
  </si>
  <si>
    <t>난이도점수</t>
  </si>
  <si>
    <t>이동평균</t>
  </si>
  <si>
    <t>등급</t>
  </si>
  <si>
    <t>레벨</t>
  </si>
  <si>
    <t>스테이지명</t>
  </si>
  <si>
    <t>할당량</t>
  </si>
  <si>
    <t>초기색상수</t>
  </si>
  <si>
    <t>색상/스택</t>
  </si>
  <si>
    <t>중복확률</t>
  </si>
  <si>
    <t>색추가임계</t>
  </si>
  <si>
    <t>기믹/할당</t>
  </si>
  <si>
    <t>5구간평균</t>
  </si>
  <si>
    <t>난이도등급</t>
  </si>
  <si>
    <t>헥사소트 퍼즐 — 난이도 곡선</t>
  </si>
  <si>
    <t>※ Stage 탭의 파라미터를 수정하면 난이도_계산 탭이 자동 갱신되고, 이 차트도 즉시 업데이트됩니다.</t>
  </si>
  <si>
    <t>구간별 평균 난이도</t>
  </si>
  <si>
    <t>구간</t>
  </si>
  <si>
    <t>평균 난이도</t>
  </si>
  <si>
    <t>최저</t>
  </si>
  <si>
    <t>최고</t>
  </si>
  <si>
    <t>Lv   1-10</t>
  </si>
  <si>
    <t>Lv  11-20</t>
  </si>
  <si>
    <t>Lv  21-30</t>
  </si>
  <si>
    <t>Lv  31-40</t>
  </si>
  <si>
    <t>Lv  41-50</t>
  </si>
  <si>
    <t>Lv  51-60</t>
  </si>
  <si>
    <t>Lv  61-70</t>
  </si>
  <si>
    <t>Lv  71-80</t>
  </si>
  <si>
    <t>Lv  81-90</t>
  </si>
  <si>
    <t>Lv  91-100</t>
  </si>
  <si>
    <t>Lv 101-110</t>
  </si>
  <si>
    <t>Lv 111-120</t>
  </si>
  <si>
    <t>Lv 121-130</t>
  </si>
  <si>
    <t>Lv 131-140</t>
  </si>
  <si>
    <t>Lv 141-150</t>
  </si>
  <si>
    <t>Lv 151-160</t>
  </si>
  <si>
    <t>Lv 161-170</t>
  </si>
  <si>
    <t>Lv 171-180</t>
  </si>
  <si>
    <t>Lv 181-190</t>
  </si>
  <si>
    <t>Lv 191-200</t>
  </si>
  <si>
    <t>Lv 201-210</t>
  </si>
  <si>
    <t>Lv 211-220</t>
  </si>
  <si>
    <t>Lv 221-230</t>
  </si>
  <si>
    <t>Lv 231-240</t>
  </si>
  <si>
    <t>Lv 241-250</t>
  </si>
  <si>
    <t>Lv 251-260</t>
  </si>
  <si>
    <t>Lv 261-270</t>
  </si>
  <si>
    <t>Lv 271-280</t>
  </si>
  <si>
    <t>Lv 281-290</t>
  </si>
  <si>
    <t>Lv 291-300</t>
  </si>
  <si>
    <t>Lv 301-310</t>
  </si>
  <si>
    <t>Lv 311-320</t>
  </si>
  <si>
    <t>Lv 321-330</t>
  </si>
  <si>
    <t>Lv 331-340</t>
  </si>
  <si>
    <t>Lv 341-350</t>
  </si>
  <si>
    <t>Lv 351-360</t>
  </si>
  <si>
    <t>Lv 361-370</t>
  </si>
  <si>
    <t>Lv 371-380</t>
  </si>
  <si>
    <t>Lv 381-390</t>
  </si>
  <si>
    <t>Lv 391-400</t>
  </si>
  <si>
    <t>Lv 401-410</t>
  </si>
  <si>
    <t>Lv 411-420</t>
  </si>
  <si>
    <t>Lv 421-430</t>
  </si>
  <si>
    <t>Lv 431-440</t>
  </si>
  <si>
    <t>Lv 441-450</t>
  </si>
  <si>
    <t>Lv 451-460</t>
  </si>
  <si>
    <t>Lv 461-470</t>
  </si>
  <si>
    <t>Lv 471-480</t>
  </si>
  <si>
    <t>Lv 481-490</t>
  </si>
  <si>
    <t>Lv 491-500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</si>
</sst>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1" x14ac:knownFonts="1">
    <font>
      <sz val="11"/>
      <color theme="1"/>
      <name val="맑은 고딕"/>
      <family val="2"/>
      <scheme val="minor"/>
    </font>
    <font>
      <b/>
      <sz val="11"/>
      <color theme="3" tint="0.499984740745262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4" tint="0.79998168889431442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name val="Arial"/>
    </font>
    <font>
      <b/>
      <sz val="11"/>
      <color rgb="FF1F4E79"/>
      <name val="Arial"/>
    </font>
    <font>
      <b/>
      <sz val="9"/>
      <color rgb="FFFFFFFF"/>
      <name val="Arial"/>
    </font>
    <font>
      <sz val="9"/>
      <color rgb="FF444444"/>
      <name val="Arial"/>
    </font>
    <font>
      <sz val="10"/>
      <color rgb="FF185FA5"/>
      <name val="Arial"/>
    </font>
    <font>
      <sz val="10"/>
      <color rgb="FF555555"/>
      <name val="Arial"/>
    </font>
    <font>
      <b/>
      <sz val="10"/>
      <color rgb="FF1F4E79"/>
      <name val="Arial"/>
    </font>
    <font>
      <i/>
      <sz val="8"/>
      <color rgb="FF2C5282"/>
      <name val="Arial"/>
    </font>
    <font>
      <sz val="9"/>
      <color rgb="FF000000"/>
      <name val="Arial"/>
    </font>
    <font>
      <b/>
      <sz val="14"/>
      <color rgb="FF1F4E79"/>
      <name val="Arial"/>
    </font>
    <font>
      <i/>
      <sz val="10"/>
      <color rgb="FF888888"/>
      <name val="Arial"/>
    </font>
    <font>
      <b/>
      <sz val="9"/>
      <name val="Arial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2EFDA"/>
      </patternFill>
    </fill>
    <fill>
      <patternFill patternType="solid">
        <fgColor rgb="FFDDEEFF"/>
      </patternFill>
    </fill>
    <fill>
      <patternFill patternType="solid">
        <fgColor rgb="FFFADBD8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FFFF9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49" fontId="0" fillId="0" borderId="1" xfId="0" applyNumberFormat="1" applyBorder="1"/>
    <xf numFmtId="0" fontId="0" fillId="6" borderId="0" xfId="0" applyFill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4" fillId="7" borderId="5" xfId="0" applyFont="1" applyFill="1" applyBorder="1" applyAlignment="1">
      <alignment horizontal="center"/>
    </xf>
    <xf numFmtId="0" fontId="0" fillId="7" borderId="1" xfId="0" applyFill="1" applyBorder="1"/>
    <xf numFmtId="0" fontId="5" fillId="8" borderId="2" xfId="0" applyFont="1" applyFill="1" applyBorder="1" applyAlignment="1">
      <alignment horizontal="center" vertical="center"/>
    </xf>
    <xf numFmtId="0" fontId="0" fillId="0" borderId="6" xfId="0" applyBorder="1"/>
    <xf numFmtId="0" fontId="4" fillId="7" borderId="7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 vertical="center"/>
    </xf>
    <xf numFmtId="49" fontId="4" fillId="7" borderId="7" xfId="0" applyNumberFormat="1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/>
    </xf>
    <xf numFmtId="49" fontId="1" fillId="3" borderId="9" xfId="0" applyNumberFormat="1" applyFont="1" applyFill="1" applyBorder="1" applyAlignment="1">
      <alignment horizontal="center"/>
    </xf>
    <xf numFmtId="49" fontId="1" fillId="2" borderId="9" xfId="0" applyNumberFormat="1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4" fillId="7" borderId="16" xfId="0" applyFont="1" applyFill="1" applyBorder="1" applyAlignment="1">
      <alignment horizontal="center"/>
    </xf>
    <xf numFmtId="0" fontId="4" fillId="7" borderId="17" xfId="0" applyFont="1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" fillId="2" borderId="10" xfId="0" applyFont="1" applyFill="1" applyBorder="1" applyAlignment="1">
      <alignment horizontal="center"/>
    </xf>
    <xf numFmtId="0" fontId="4" fillId="7" borderId="15" xfId="0" applyFont="1" applyFill="1" applyBorder="1" applyAlignment="1">
      <alignment horizontal="center"/>
    </xf>
    <xf numFmtId="0" fontId="0" fillId="0" borderId="12" xfId="0" applyBorder="1"/>
    <xf numFmtId="0" fontId="0" fillId="9" borderId="2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0" fontId="0" fillId="9" borderId="0" xfId="0" applyFill="1"/>
    <xf numFmtId="49" fontId="0" fillId="9" borderId="2" xfId="0" applyNumberForma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49" fontId="0" fillId="9" borderId="5" xfId="0" applyNumberForma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0" fillId="9" borderId="22" xfId="0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0" fillId="9" borderId="29" xfId="0" applyFill="1" applyBorder="1" applyAlignment="1">
      <alignment horizontal="center" vertical="center"/>
    </xf>
    <xf numFmtId="0" fontId="4" fillId="9" borderId="19" xfId="0" applyFont="1" applyFill="1" applyBorder="1" applyAlignment="1">
      <alignment horizontal="center"/>
    </xf>
    <xf numFmtId="0" fontId="0" fillId="9" borderId="12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0" borderId="11" xfId="0" applyBorder="1"/>
    <xf numFmtId="0" fontId="0" fillId="0" borderId="20" xfId="0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0" fontId="0" fillId="9" borderId="30" xfId="0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49" fontId="0" fillId="9" borderId="7" xfId="0" applyNumberForma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/>
    <xf numFmtId="0" fontId="0" fillId="0" borderId="8" xfId="0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0" xfId="0" applyFont="1"/>
    <xf numFmtId="0" fontId="9" fillId="15" borderId="31" xfId="0" applyFont="1" applyFill="1" applyBorder="1" applyAlignment="1">
      <alignment horizontal="center" vertical="center"/>
    </xf>
    <xf numFmtId="0" fontId="10" fillId="17" borderId="31" xfId="0" applyFont="1" applyFill="1" applyBorder="1" applyAlignment="1">
      <alignment horizontal="left" vertical="center"/>
    </xf>
    <xf numFmtId="0" fontId="11" fillId="18" borderId="31" xfId="0" applyFont="1" applyFill="1" applyBorder="1" applyAlignment="1">
      <alignment horizontal="center" vertical="center"/>
    </xf>
    <xf numFmtId="0" fontId="12" fillId="19" borderId="31" xfId="0" applyFont="1" applyFill="1" applyBorder="1" applyAlignment="1">
      <alignment horizontal="center" vertical="center"/>
    </xf>
    <xf numFmtId="0" fontId="13" fillId="20" borderId="31" xfId="0" applyFont="1" applyFill="1" applyBorder="1" applyAlignment="1">
      <alignment horizontal="center" vertical="center"/>
    </xf>
    <xf numFmtId="0" fontId="9" fillId="15" borderId="31" xfId="0" applyFont="1" applyFill="1" applyBorder="1" applyAlignment="1">
      <alignment horizontal="center" vertical="center" wrapText="1"/>
    </xf>
    <xf numFmtId="0" fontId="14" fillId="16" borderId="31" xfId="0" applyFont="1" applyFill="1" applyBorder="1" applyAlignment="1">
      <alignment horizontal="center" vertical="center" wrapText="1"/>
    </xf>
    <xf numFmtId="0" fontId="15" fillId="19" borderId="31" xfId="0" applyFont="1" applyFill="1" applyBorder="1" applyAlignment="1">
      <alignment horizontal="center" vertical="center"/>
    </xf>
    <xf numFmtId="176" fontId="15" fillId="19" borderId="31" xfId="0" applyNumberFormat="1" applyFont="1" applyFill="1" applyBorder="1" applyAlignment="1">
      <alignment horizontal="center" vertical="center"/>
    </xf>
    <xf numFmtId="0" fontId="15" fillId="17" borderId="31" xfId="0" applyFont="1" applyFill="1" applyBorder="1" applyAlignment="1">
      <alignment horizontal="center" vertical="center"/>
    </xf>
    <xf numFmtId="176" fontId="15" fillId="17" borderId="3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10" borderId="31" xfId="0" applyFont="1" applyFill="1" applyBorder="1" applyAlignment="1">
      <alignment horizontal="center" vertical="center"/>
    </xf>
    <xf numFmtId="176" fontId="7" fillId="10" borderId="31" xfId="0" applyNumberFormat="1" applyFont="1" applyFill="1" applyBorder="1" applyAlignment="1">
      <alignment horizontal="center" vertical="center"/>
    </xf>
    <xf numFmtId="0" fontId="18" fillId="11" borderId="31" xfId="0" applyFont="1" applyFill="1" applyBorder="1" applyAlignment="1">
      <alignment horizontal="center" vertical="center"/>
    </xf>
    <xf numFmtId="176" fontId="7" fillId="11" borderId="31" xfId="0" applyNumberFormat="1" applyFont="1" applyFill="1" applyBorder="1" applyAlignment="1">
      <alignment horizontal="center" vertical="center"/>
    </xf>
    <xf numFmtId="0" fontId="18" fillId="13" borderId="31" xfId="0" applyFont="1" applyFill="1" applyBorder="1" applyAlignment="1">
      <alignment horizontal="center" vertical="center"/>
    </xf>
    <xf numFmtId="176" fontId="7" fillId="13" borderId="31" xfId="0" applyNumberFormat="1" applyFont="1" applyFill="1" applyBorder="1" applyAlignment="1">
      <alignment horizontal="center" vertical="center"/>
    </xf>
    <xf numFmtId="0" fontId="18" fillId="14" borderId="31" xfId="0" applyFont="1" applyFill="1" applyBorder="1" applyAlignment="1">
      <alignment horizontal="center" vertical="center"/>
    </xf>
    <xf numFmtId="176" fontId="7" fillId="14" borderId="31" xfId="0" applyNumberFormat="1" applyFont="1" applyFill="1" applyBorder="1" applyAlignment="1">
      <alignment horizontal="center" vertical="center"/>
    </xf>
    <xf numFmtId="0" fontId="18" fillId="12" borderId="31" xfId="0" applyFont="1" applyFill="1" applyBorder="1" applyAlignment="1">
      <alignment horizontal="center" vertical="center"/>
    </xf>
    <xf numFmtId="176" fontId="7" fillId="12" borderId="31" xfId="0" applyNumberFormat="1" applyFont="1" applyFill="1" applyBorder="1" applyAlignment="1">
      <alignment horizontal="center" vertical="center"/>
    </xf>
    <xf numFmtId="0" fontId="5" fillId="21" borderId="2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20" fillId="21" borderId="1" xfId="0" applyFont="1" applyFill="1" applyBorder="1" applyAlignment="1">
      <alignment horizontal="center" vertical="center"/>
    </xf>
    <xf numFmtId="49" fontId="19" fillId="6" borderId="1" xfId="0" applyNumberFormat="1" applyFont="1" applyFill="1" applyBorder="1" applyAlignment="1">
      <alignment horizontal="center" vertical="center"/>
    </xf>
    <xf numFmtId="0" fontId="19" fillId="6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19" fillId="6" borderId="11" xfId="0" applyFont="1" applyFill="1" applyBorder="1" applyAlignment="1">
      <alignment horizontal="center" vertical="center"/>
    </xf>
    <xf numFmtId="0" fontId="19" fillId="6" borderId="12" xfId="0" applyFont="1" applyFill="1" applyBorder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center" vertical="center"/>
    </xf>
    <xf numFmtId="0" fontId="19" fillId="6" borderId="15" xfId="0" applyFont="1" applyFill="1" applyBorder="1" applyAlignment="1">
      <alignment horizontal="center" vertical="center"/>
    </xf>
    <xf numFmtId="49" fontId="0" fillId="0" borderId="2" xfId="0" applyNumberFormat="1" applyBorder="1"/>
    <xf numFmtId="0" fontId="20" fillId="21" borderId="5" xfId="0" applyFont="1" applyFill="1" applyBorder="1" applyAlignment="1">
      <alignment horizontal="center" vertical="center"/>
    </xf>
    <xf numFmtId="0" fontId="19" fillId="6" borderId="5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난이도 점수 </a:t>
            </a:r>
            <a:r>
              <a:rPr lang="en-US" altLang="ko-KR"/>
              <a:t>(</a:t>
            </a:r>
            <a:r>
              <a:rPr lang="ko-KR" altLang="en-US"/>
              <a:t>원시값 </a:t>
            </a:r>
            <a:r>
              <a:rPr lang="en-US"/>
              <a:t>vs 5</a:t>
            </a:r>
            <a:r>
              <a:rPr lang="ko-KR" altLang="en-US"/>
              <a:t>구간 이동평균</a:t>
            </a:r>
            <a:r>
              <a:rPr lang="en-US" altLang="ko-KR"/>
              <a:t>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'#난이도_계산'!$K$12</c:f>
              <c:strCache>
                <c:ptCount val="1"/>
                <c:pt idx="0">
                  <c:v>난이도점수</c:v>
                </c:pt>
              </c:strCache>
            </c:strRef>
          </c:tx>
          <c:spPr>
            <a:ln w="8000">
              <a:solidFill>
                <a:srgbClr val="AAAAAA"/>
              </a:solidFill>
              <a:prstDash val="solid"/>
            </a:ln>
          </c:spPr>
          <c:marker>
            <c:symbol val="none"/>
          </c:marker>
          <c:cat>
            <c:numRef>
              <c:f>'#난이도_계산'!$A$14:$A$513</c:f>
              <c:numCache>
                <c:formatCode>General</c:formatCode>
                <c:ptCount val="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cat>
          <c:val>
            <c:numRef>
              <c:f>'#난이도_계산'!$K$13:$K$513</c:f>
              <c:numCache>
                <c:formatCode>0.0</c:formatCode>
                <c:ptCount val="501"/>
                <c:pt idx="0" formatCode="General">
                  <c:v>0</c:v>
                </c:pt>
                <c:pt idx="1">
                  <c:v>21.629220233089033</c:v>
                </c:pt>
                <c:pt idx="2">
                  <c:v>21.644238856181669</c:v>
                </c:pt>
                <c:pt idx="3">
                  <c:v>21.644238856181669</c:v>
                </c:pt>
                <c:pt idx="4">
                  <c:v>23.007929832992914</c:v>
                </c:pt>
                <c:pt idx="5">
                  <c:v>21.644238856181669</c:v>
                </c:pt>
                <c:pt idx="6">
                  <c:v>22.10981617205335</c:v>
                </c:pt>
                <c:pt idx="7">
                  <c:v>31.589370819816576</c:v>
                </c:pt>
                <c:pt idx="8">
                  <c:v>30.270735712283237</c:v>
                </c:pt>
                <c:pt idx="9">
                  <c:v>22.094797548960717</c:v>
                </c:pt>
                <c:pt idx="10">
                  <c:v>23.007929832992914</c:v>
                </c:pt>
                <c:pt idx="11">
                  <c:v>42.826104369418083</c:v>
                </c:pt>
                <c:pt idx="12">
                  <c:v>34.925507629460533</c:v>
                </c:pt>
                <c:pt idx="13">
                  <c:v>26.607393167527732</c:v>
                </c:pt>
                <c:pt idx="14">
                  <c:v>23.022948456085548</c:v>
                </c:pt>
                <c:pt idx="15">
                  <c:v>22.094797548960717</c:v>
                </c:pt>
                <c:pt idx="16">
                  <c:v>30.285754335375863</c:v>
                </c:pt>
                <c:pt idx="17">
                  <c:v>34.925507629460533</c:v>
                </c:pt>
                <c:pt idx="18">
                  <c:v>39.459930313588849</c:v>
                </c:pt>
                <c:pt idx="19">
                  <c:v>34.970563498738436</c:v>
                </c:pt>
                <c:pt idx="20">
                  <c:v>31.589370819816576</c:v>
                </c:pt>
                <c:pt idx="21">
                  <c:v>47.173695382274012</c:v>
                </c:pt>
                <c:pt idx="22">
                  <c:v>44.0978813729024</c:v>
                </c:pt>
                <c:pt idx="23">
                  <c:v>30.270735712283237</c:v>
                </c:pt>
                <c:pt idx="24">
                  <c:v>38.569025591733748</c:v>
                </c:pt>
                <c:pt idx="25">
                  <c:v>35.356241739757294</c:v>
                </c:pt>
                <c:pt idx="26">
                  <c:v>34.93572029316352</c:v>
                </c:pt>
                <c:pt idx="27">
                  <c:v>35.356241739757294</c:v>
                </c:pt>
                <c:pt idx="28">
                  <c:v>46.33265248908647</c:v>
                </c:pt>
                <c:pt idx="29">
                  <c:v>34.93572029316352</c:v>
                </c:pt>
                <c:pt idx="30">
                  <c:v>46.33265248908647</c:v>
                </c:pt>
                <c:pt idx="31">
                  <c:v>31.164043413833152</c:v>
                </c:pt>
                <c:pt idx="32">
                  <c:v>43.677359926308618</c:v>
                </c:pt>
                <c:pt idx="33">
                  <c:v>31.088950298369983</c:v>
                </c:pt>
                <c:pt idx="34">
                  <c:v>31.164043413833152</c:v>
                </c:pt>
                <c:pt idx="35">
                  <c:v>26.607393167527732</c:v>
                </c:pt>
                <c:pt idx="36">
                  <c:v>26.607393167527732</c:v>
                </c:pt>
                <c:pt idx="37">
                  <c:v>35.776763186351076</c:v>
                </c:pt>
                <c:pt idx="38">
                  <c:v>30.255717089190593</c:v>
                </c:pt>
                <c:pt idx="39">
                  <c:v>31.164043413833152</c:v>
                </c:pt>
                <c:pt idx="40">
                  <c:v>31.134006167647883</c:v>
                </c:pt>
                <c:pt idx="41">
                  <c:v>22.094797548960717</c:v>
                </c:pt>
                <c:pt idx="42">
                  <c:v>26.607393167527732</c:v>
                </c:pt>
                <c:pt idx="43">
                  <c:v>30.270735712283237</c:v>
                </c:pt>
                <c:pt idx="44">
                  <c:v>34.93572029316352</c:v>
                </c:pt>
                <c:pt idx="45">
                  <c:v>40.803796707917819</c:v>
                </c:pt>
                <c:pt idx="46">
                  <c:v>30.285754335375863</c:v>
                </c:pt>
                <c:pt idx="47">
                  <c:v>31.088950298369983</c:v>
                </c:pt>
                <c:pt idx="48">
                  <c:v>26.607393167527732</c:v>
                </c:pt>
                <c:pt idx="49">
                  <c:v>35.356241739757294</c:v>
                </c:pt>
                <c:pt idx="50">
                  <c:v>36.432776643037371</c:v>
                </c:pt>
                <c:pt idx="51">
                  <c:v>27.072970483399416</c:v>
                </c:pt>
                <c:pt idx="52">
                  <c:v>30.255717089190593</c:v>
                </c:pt>
                <c:pt idx="53">
                  <c:v>31.149024790740526</c:v>
                </c:pt>
                <c:pt idx="54">
                  <c:v>30.668428851776209</c:v>
                </c:pt>
                <c:pt idx="55">
                  <c:v>26.607393167527732</c:v>
                </c:pt>
                <c:pt idx="56">
                  <c:v>22.10981617205335</c:v>
                </c:pt>
                <c:pt idx="57">
                  <c:v>26.607393167527732</c:v>
                </c:pt>
                <c:pt idx="58">
                  <c:v>35.776763186351076</c:v>
                </c:pt>
                <c:pt idx="59">
                  <c:v>30.285754335375863</c:v>
                </c:pt>
                <c:pt idx="60">
                  <c:v>35.356241739757294</c:v>
                </c:pt>
                <c:pt idx="61">
                  <c:v>30.255717089190593</c:v>
                </c:pt>
                <c:pt idx="62">
                  <c:v>31.118987544555253</c:v>
                </c:pt>
                <c:pt idx="63">
                  <c:v>46.481236733549608</c:v>
                </c:pt>
                <c:pt idx="64">
                  <c:v>35.776763186351076</c:v>
                </c:pt>
                <c:pt idx="65">
                  <c:v>34.93572029316352</c:v>
                </c:pt>
                <c:pt idx="66">
                  <c:v>31.164043413833152</c:v>
                </c:pt>
                <c:pt idx="67">
                  <c:v>31.134006167647883</c:v>
                </c:pt>
                <c:pt idx="68">
                  <c:v>44.079081590584082</c:v>
                </c:pt>
                <c:pt idx="69">
                  <c:v>31.6146021066122</c:v>
                </c:pt>
                <c:pt idx="70">
                  <c:v>31.118987544555253</c:v>
                </c:pt>
                <c:pt idx="71">
                  <c:v>30.270735712283237</c:v>
                </c:pt>
                <c:pt idx="72">
                  <c:v>27.072970483399416</c:v>
                </c:pt>
                <c:pt idx="73">
                  <c:v>47.070951763971117</c:v>
                </c:pt>
                <c:pt idx="74">
                  <c:v>31.149024790740526</c:v>
                </c:pt>
                <c:pt idx="75">
                  <c:v>35.356241739757294</c:v>
                </c:pt>
                <c:pt idx="76">
                  <c:v>31.118987544555253</c:v>
                </c:pt>
                <c:pt idx="77">
                  <c:v>34.93572029316352</c:v>
                </c:pt>
                <c:pt idx="78">
                  <c:v>31.118987544555253</c:v>
                </c:pt>
                <c:pt idx="79">
                  <c:v>36.845448355961388</c:v>
                </c:pt>
                <c:pt idx="80">
                  <c:v>35.356241739757294</c:v>
                </c:pt>
                <c:pt idx="81">
                  <c:v>21.629220233089033</c:v>
                </c:pt>
                <c:pt idx="82">
                  <c:v>23.007929832992914</c:v>
                </c:pt>
                <c:pt idx="83">
                  <c:v>30.285754335375863</c:v>
                </c:pt>
                <c:pt idx="84">
                  <c:v>27.057951860306783</c:v>
                </c:pt>
                <c:pt idx="85">
                  <c:v>35.776763186351076</c:v>
                </c:pt>
                <c:pt idx="86">
                  <c:v>41.444040610356844</c:v>
                </c:pt>
                <c:pt idx="87">
                  <c:v>31.164043413833152</c:v>
                </c:pt>
                <c:pt idx="88">
                  <c:v>21.629220233089033</c:v>
                </c:pt>
                <c:pt idx="89">
                  <c:v>38.796667868156511</c:v>
                </c:pt>
                <c:pt idx="90">
                  <c:v>39.836897753213982</c:v>
                </c:pt>
                <c:pt idx="91">
                  <c:v>31.149024790740526</c:v>
                </c:pt>
                <c:pt idx="92">
                  <c:v>31.134006167647883</c:v>
                </c:pt>
                <c:pt idx="93">
                  <c:v>49.472265609355603</c:v>
                </c:pt>
                <c:pt idx="94">
                  <c:v>38.796667868156511</c:v>
                </c:pt>
                <c:pt idx="95">
                  <c:v>21.629220233089033</c:v>
                </c:pt>
                <c:pt idx="96">
                  <c:v>31.149024790740526</c:v>
                </c:pt>
                <c:pt idx="97">
                  <c:v>31.6146021066122</c:v>
                </c:pt>
                <c:pt idx="98">
                  <c:v>21.644238856181669</c:v>
                </c:pt>
                <c:pt idx="99">
                  <c:v>36.19728463294485</c:v>
                </c:pt>
                <c:pt idx="100">
                  <c:v>31.088950298369983</c:v>
                </c:pt>
                <c:pt idx="101">
                  <c:v>35.356241739757294</c:v>
                </c:pt>
                <c:pt idx="102">
                  <c:v>30.668428851776209</c:v>
                </c:pt>
                <c:pt idx="103">
                  <c:v>31.088950298369983</c:v>
                </c:pt>
                <c:pt idx="104">
                  <c:v>36.432776643037371</c:v>
                </c:pt>
                <c:pt idx="105">
                  <c:v>30.668428851776209</c:v>
                </c:pt>
                <c:pt idx="106">
                  <c:v>30.270735712283237</c:v>
                </c:pt>
                <c:pt idx="107">
                  <c:v>45.073491128999954</c:v>
                </c:pt>
                <c:pt idx="108">
                  <c:v>41.230625976210497</c:v>
                </c:pt>
                <c:pt idx="109">
                  <c:v>31.6146021066122</c:v>
                </c:pt>
                <c:pt idx="110">
                  <c:v>35.356241739757294</c:v>
                </c:pt>
                <c:pt idx="111">
                  <c:v>49.472265609355603</c:v>
                </c:pt>
                <c:pt idx="112">
                  <c:v>48.190914628876648</c:v>
                </c:pt>
                <c:pt idx="113">
                  <c:v>36.845448355961388</c:v>
                </c:pt>
                <c:pt idx="114">
                  <c:v>35.356241739757294</c:v>
                </c:pt>
                <c:pt idx="115">
                  <c:v>31.149024790740526</c:v>
                </c:pt>
                <c:pt idx="116">
                  <c:v>38.796667868156511</c:v>
                </c:pt>
                <c:pt idx="117">
                  <c:v>47.624676220134596</c:v>
                </c:pt>
                <c:pt idx="118">
                  <c:v>48.3706322155262</c:v>
                </c:pt>
                <c:pt idx="119">
                  <c:v>45.46691230459102</c:v>
                </c:pt>
                <c:pt idx="120">
                  <c:v>43.877681051776932</c:v>
                </c:pt>
                <c:pt idx="121">
                  <c:v>49.472265609355603</c:v>
                </c:pt>
                <c:pt idx="122">
                  <c:v>49.472265609355603</c:v>
                </c:pt>
                <c:pt idx="123">
                  <c:v>36.845448355961388</c:v>
                </c:pt>
                <c:pt idx="124">
                  <c:v>47.624676220134596</c:v>
                </c:pt>
                <c:pt idx="125">
                  <c:v>45.65661420160999</c:v>
                </c:pt>
                <c:pt idx="126">
                  <c:v>45.073491128999954</c:v>
                </c:pt>
                <c:pt idx="127">
                  <c:v>45.65661420160999</c:v>
                </c:pt>
                <c:pt idx="128">
                  <c:v>49.472265609355603</c:v>
                </c:pt>
                <c:pt idx="129">
                  <c:v>45.073491128999954</c:v>
                </c:pt>
                <c:pt idx="130">
                  <c:v>49.472265609355603</c:v>
                </c:pt>
                <c:pt idx="131">
                  <c:v>39.209846015510841</c:v>
                </c:pt>
                <c:pt idx="132">
                  <c:v>49.472265609355603</c:v>
                </c:pt>
                <c:pt idx="133">
                  <c:v>44.279942422721817</c:v>
                </c:pt>
                <c:pt idx="134">
                  <c:v>38.796667868156511</c:v>
                </c:pt>
                <c:pt idx="135">
                  <c:v>35.356241739757294</c:v>
                </c:pt>
                <c:pt idx="136">
                  <c:v>35.356241739757294</c:v>
                </c:pt>
                <c:pt idx="137">
                  <c:v>45.65661420160999</c:v>
                </c:pt>
                <c:pt idx="138">
                  <c:v>36.19728463294485</c:v>
                </c:pt>
                <c:pt idx="139">
                  <c:v>38.796667868156511</c:v>
                </c:pt>
                <c:pt idx="140">
                  <c:v>39.43014499269416</c:v>
                </c:pt>
                <c:pt idx="141">
                  <c:v>27.057951860306783</c:v>
                </c:pt>
                <c:pt idx="142">
                  <c:v>34.93572029316352</c:v>
                </c:pt>
                <c:pt idx="143">
                  <c:v>35.776763186351076</c:v>
                </c:pt>
                <c:pt idx="144">
                  <c:v>44.480803254859552</c:v>
                </c:pt>
                <c:pt idx="145">
                  <c:v>47.624676220134596</c:v>
                </c:pt>
                <c:pt idx="146">
                  <c:v>35.356241739757294</c:v>
                </c:pt>
                <c:pt idx="147">
                  <c:v>41.845160726573674</c:v>
                </c:pt>
                <c:pt idx="148">
                  <c:v>34.93572029316352</c:v>
                </c:pt>
                <c:pt idx="149">
                  <c:v>44.480803254859552</c:v>
                </c:pt>
                <c:pt idx="150">
                  <c:v>45.46691230459102</c:v>
                </c:pt>
                <c:pt idx="151">
                  <c:v>30.668428851776209</c:v>
                </c:pt>
                <c:pt idx="152">
                  <c:v>35.776763186351076</c:v>
                </c:pt>
                <c:pt idx="153">
                  <c:v>36.19728463294485</c:v>
                </c:pt>
                <c:pt idx="154">
                  <c:v>39.836897753213982</c:v>
                </c:pt>
                <c:pt idx="155">
                  <c:v>31.088950298369983</c:v>
                </c:pt>
                <c:pt idx="156">
                  <c:v>21.629220233089033</c:v>
                </c:pt>
                <c:pt idx="157">
                  <c:v>31.088950298369983</c:v>
                </c:pt>
                <c:pt idx="158">
                  <c:v>44.480803254859552</c:v>
                </c:pt>
                <c:pt idx="159">
                  <c:v>31.509471744963758</c:v>
                </c:pt>
                <c:pt idx="160">
                  <c:v>44.279942422721817</c:v>
                </c:pt>
                <c:pt idx="161">
                  <c:v>35.356241739757294</c:v>
                </c:pt>
                <c:pt idx="162">
                  <c:v>36.845448355961388</c:v>
                </c:pt>
                <c:pt idx="163">
                  <c:v>49.472265609355603</c:v>
                </c:pt>
                <c:pt idx="164">
                  <c:v>44.480803254859552</c:v>
                </c:pt>
                <c:pt idx="165">
                  <c:v>41.845160726573674</c:v>
                </c:pt>
                <c:pt idx="166">
                  <c:v>35.356241739757294</c:v>
                </c:pt>
                <c:pt idx="167">
                  <c:v>36.19728463294485</c:v>
                </c:pt>
                <c:pt idx="168">
                  <c:v>48.190914628876648</c:v>
                </c:pt>
                <c:pt idx="169">
                  <c:v>35.356241739757294</c:v>
                </c:pt>
                <c:pt idx="170">
                  <c:v>36.845448355961388</c:v>
                </c:pt>
                <c:pt idx="171">
                  <c:v>31.088950298369983</c:v>
                </c:pt>
                <c:pt idx="172">
                  <c:v>31.134006167647883</c:v>
                </c:pt>
                <c:pt idx="173">
                  <c:v>49.472265609355603</c:v>
                </c:pt>
                <c:pt idx="174">
                  <c:v>35.776763186351076</c:v>
                </c:pt>
                <c:pt idx="175">
                  <c:v>41.845160726573674</c:v>
                </c:pt>
                <c:pt idx="176">
                  <c:v>36.19728463294485</c:v>
                </c:pt>
                <c:pt idx="177">
                  <c:v>41.230625976210497</c:v>
                </c:pt>
                <c:pt idx="178">
                  <c:v>36.19728463294485</c:v>
                </c:pt>
                <c:pt idx="179">
                  <c:v>44.68166408699728</c:v>
                </c:pt>
                <c:pt idx="180">
                  <c:v>41.444040610356844</c:v>
                </c:pt>
                <c:pt idx="181">
                  <c:v>30.270735712283237</c:v>
                </c:pt>
                <c:pt idx="182">
                  <c:v>31.164043413833152</c:v>
                </c:pt>
                <c:pt idx="183">
                  <c:v>30.668428851776209</c:v>
                </c:pt>
                <c:pt idx="184">
                  <c:v>31.134006167647883</c:v>
                </c:pt>
                <c:pt idx="185">
                  <c:v>41.845160726573674</c:v>
                </c:pt>
                <c:pt idx="186">
                  <c:v>47.050342424606512</c:v>
                </c:pt>
                <c:pt idx="187">
                  <c:v>34.93572029316352</c:v>
                </c:pt>
                <c:pt idx="188">
                  <c:v>30.270735712283237</c:v>
                </c:pt>
                <c:pt idx="189">
                  <c:v>44.480803254859552</c:v>
                </c:pt>
                <c:pt idx="190">
                  <c:v>45.073491128999954</c:v>
                </c:pt>
                <c:pt idx="191">
                  <c:v>35.356241739757294</c:v>
                </c:pt>
                <c:pt idx="192">
                  <c:v>35.356241739757294</c:v>
                </c:pt>
                <c:pt idx="193">
                  <c:v>49.472265609355603</c:v>
                </c:pt>
                <c:pt idx="194">
                  <c:v>44.480803254859552</c:v>
                </c:pt>
                <c:pt idx="195">
                  <c:v>26.607393167527732</c:v>
                </c:pt>
                <c:pt idx="196">
                  <c:v>35.356241739757294</c:v>
                </c:pt>
                <c:pt idx="197">
                  <c:v>31.088950298369983</c:v>
                </c:pt>
                <c:pt idx="198">
                  <c:v>23.007929832992914</c:v>
                </c:pt>
                <c:pt idx="199">
                  <c:v>41.845160726573674</c:v>
                </c:pt>
                <c:pt idx="200">
                  <c:v>36.845448355961388</c:v>
                </c:pt>
                <c:pt idx="201">
                  <c:v>39.836897753213982</c:v>
                </c:pt>
                <c:pt idx="202">
                  <c:v>36.19728463294485</c:v>
                </c:pt>
                <c:pt idx="203">
                  <c:v>36.845448355961388</c:v>
                </c:pt>
                <c:pt idx="204">
                  <c:v>41.845160726573674</c:v>
                </c:pt>
                <c:pt idx="205">
                  <c:v>35.776763186351076</c:v>
                </c:pt>
                <c:pt idx="206">
                  <c:v>31.118987544555253</c:v>
                </c:pt>
                <c:pt idx="207">
                  <c:v>47.624676220134596</c:v>
                </c:pt>
                <c:pt idx="208">
                  <c:v>45.073491128999954</c:v>
                </c:pt>
                <c:pt idx="209">
                  <c:v>30.668428851776209</c:v>
                </c:pt>
                <c:pt idx="210">
                  <c:v>39.836897753213982</c:v>
                </c:pt>
                <c:pt idx="211">
                  <c:v>49.472265609355603</c:v>
                </c:pt>
                <c:pt idx="212">
                  <c:v>49.301533902038528</c:v>
                </c:pt>
                <c:pt idx="213">
                  <c:v>41.845160726573674</c:v>
                </c:pt>
                <c:pt idx="214">
                  <c:v>38.796667868156511</c:v>
                </c:pt>
                <c:pt idx="215">
                  <c:v>31.088950298369983</c:v>
                </c:pt>
                <c:pt idx="216">
                  <c:v>41.845160726573674</c:v>
                </c:pt>
                <c:pt idx="217">
                  <c:v>48.924789816295281</c:v>
                </c:pt>
                <c:pt idx="218">
                  <c:v>49.472265609355603</c:v>
                </c:pt>
                <c:pt idx="219">
                  <c:v>48.190914628876648</c:v>
                </c:pt>
                <c:pt idx="220">
                  <c:v>45.65661420160999</c:v>
                </c:pt>
                <c:pt idx="221">
                  <c:v>49.472265609355603</c:v>
                </c:pt>
                <c:pt idx="222">
                  <c:v>49.472265609355603</c:v>
                </c:pt>
                <c:pt idx="223">
                  <c:v>41.845160726573674</c:v>
                </c:pt>
                <c:pt idx="224">
                  <c:v>48.924789816295281</c:v>
                </c:pt>
                <c:pt idx="225">
                  <c:v>48.190914628876648</c:v>
                </c:pt>
                <c:pt idx="226">
                  <c:v>47.624676220134596</c:v>
                </c:pt>
                <c:pt idx="227">
                  <c:v>48.190914628876648</c:v>
                </c:pt>
                <c:pt idx="228">
                  <c:v>49.472265609355603</c:v>
                </c:pt>
                <c:pt idx="229">
                  <c:v>47.624676220134596</c:v>
                </c:pt>
                <c:pt idx="230">
                  <c:v>49.472265609355603</c:v>
                </c:pt>
                <c:pt idx="231">
                  <c:v>41.845160726573674</c:v>
                </c:pt>
                <c:pt idx="232">
                  <c:v>49.472265609355603</c:v>
                </c:pt>
                <c:pt idx="233">
                  <c:v>45.46691230459102</c:v>
                </c:pt>
                <c:pt idx="234">
                  <c:v>41.845160726573674</c:v>
                </c:pt>
                <c:pt idx="235">
                  <c:v>36.845448355961388</c:v>
                </c:pt>
                <c:pt idx="236">
                  <c:v>38.796667868156511</c:v>
                </c:pt>
                <c:pt idx="237">
                  <c:v>47.624676220134596</c:v>
                </c:pt>
                <c:pt idx="238">
                  <c:v>39.836897753213982</c:v>
                </c:pt>
                <c:pt idx="239">
                  <c:v>41.845160726573674</c:v>
                </c:pt>
                <c:pt idx="240">
                  <c:v>43.877681051776932</c:v>
                </c:pt>
                <c:pt idx="241">
                  <c:v>30.255717089190593</c:v>
                </c:pt>
                <c:pt idx="242">
                  <c:v>36.19728463294485</c:v>
                </c:pt>
                <c:pt idx="243">
                  <c:v>39.209846015510841</c:v>
                </c:pt>
                <c:pt idx="244">
                  <c:v>45.46691230459102</c:v>
                </c:pt>
                <c:pt idx="245">
                  <c:v>48.749680372893152</c:v>
                </c:pt>
                <c:pt idx="246">
                  <c:v>36.845448355961388</c:v>
                </c:pt>
                <c:pt idx="247">
                  <c:v>44.68166408699728</c:v>
                </c:pt>
                <c:pt idx="248">
                  <c:v>36.19728463294485</c:v>
                </c:pt>
                <c:pt idx="249">
                  <c:v>45.65661420160999</c:v>
                </c:pt>
                <c:pt idx="250">
                  <c:v>47.624676220134596</c:v>
                </c:pt>
                <c:pt idx="251">
                  <c:v>35.356241739757294</c:v>
                </c:pt>
                <c:pt idx="252">
                  <c:v>38.796667868156511</c:v>
                </c:pt>
                <c:pt idx="253">
                  <c:v>39.836897753213982</c:v>
                </c:pt>
                <c:pt idx="254">
                  <c:v>43.877681051776932</c:v>
                </c:pt>
                <c:pt idx="255">
                  <c:v>35.776763186351076</c:v>
                </c:pt>
                <c:pt idx="256">
                  <c:v>23.007929832992914</c:v>
                </c:pt>
                <c:pt idx="257">
                  <c:v>35.356241739757294</c:v>
                </c:pt>
                <c:pt idx="258">
                  <c:v>45.65661420160999</c:v>
                </c:pt>
                <c:pt idx="259">
                  <c:v>35.776763186351076</c:v>
                </c:pt>
                <c:pt idx="260">
                  <c:v>45.073491128999954</c:v>
                </c:pt>
                <c:pt idx="261">
                  <c:v>36.432776643037371</c:v>
                </c:pt>
                <c:pt idx="262">
                  <c:v>41.230625976210497</c:v>
                </c:pt>
                <c:pt idx="263">
                  <c:v>49.472265609355603</c:v>
                </c:pt>
                <c:pt idx="264">
                  <c:v>45.073491128999954</c:v>
                </c:pt>
                <c:pt idx="265">
                  <c:v>44.480803254859552</c:v>
                </c:pt>
                <c:pt idx="266">
                  <c:v>36.432776643037371</c:v>
                </c:pt>
                <c:pt idx="267">
                  <c:v>39.209846015510841</c:v>
                </c:pt>
                <c:pt idx="268">
                  <c:v>48.749680372893152</c:v>
                </c:pt>
                <c:pt idx="269">
                  <c:v>36.19728463294485</c:v>
                </c:pt>
                <c:pt idx="270">
                  <c:v>41.230625976210497</c:v>
                </c:pt>
                <c:pt idx="271">
                  <c:v>35.356241739757294</c:v>
                </c:pt>
                <c:pt idx="272">
                  <c:v>31.088950298369983</c:v>
                </c:pt>
                <c:pt idx="273">
                  <c:v>49.472265609355603</c:v>
                </c:pt>
                <c:pt idx="274">
                  <c:v>36.845448355961388</c:v>
                </c:pt>
                <c:pt idx="275">
                  <c:v>44.480803254859552</c:v>
                </c:pt>
                <c:pt idx="276">
                  <c:v>39.209846015510841</c:v>
                </c:pt>
                <c:pt idx="277">
                  <c:v>43.877681051776932</c:v>
                </c:pt>
                <c:pt idx="278">
                  <c:v>39.209846015510841</c:v>
                </c:pt>
                <c:pt idx="279">
                  <c:v>45.65661420160999</c:v>
                </c:pt>
                <c:pt idx="280">
                  <c:v>44.480803254859552</c:v>
                </c:pt>
                <c:pt idx="281">
                  <c:v>31.164043413833152</c:v>
                </c:pt>
                <c:pt idx="282">
                  <c:v>31.134006167647883</c:v>
                </c:pt>
                <c:pt idx="283">
                  <c:v>34.93572029316352</c:v>
                </c:pt>
                <c:pt idx="284">
                  <c:v>30.668428851776209</c:v>
                </c:pt>
                <c:pt idx="285">
                  <c:v>44.480803254859552</c:v>
                </c:pt>
                <c:pt idx="286">
                  <c:v>47.624676220134596</c:v>
                </c:pt>
                <c:pt idx="287">
                  <c:v>35.776763186351076</c:v>
                </c:pt>
                <c:pt idx="288">
                  <c:v>31.164043413833152</c:v>
                </c:pt>
                <c:pt idx="289">
                  <c:v>45.073491128999954</c:v>
                </c:pt>
                <c:pt idx="290">
                  <c:v>47.050342424606512</c:v>
                </c:pt>
                <c:pt idx="291">
                  <c:v>35.776763186351076</c:v>
                </c:pt>
                <c:pt idx="292">
                  <c:v>36.19728463294485</c:v>
                </c:pt>
                <c:pt idx="293">
                  <c:v>49.472265609355603</c:v>
                </c:pt>
                <c:pt idx="294">
                  <c:v>45.073491128999954</c:v>
                </c:pt>
                <c:pt idx="295">
                  <c:v>30.270735712283237</c:v>
                </c:pt>
                <c:pt idx="296">
                  <c:v>35.776763186351076</c:v>
                </c:pt>
                <c:pt idx="297">
                  <c:v>35.356241739757294</c:v>
                </c:pt>
                <c:pt idx="298">
                  <c:v>27.057951860306783</c:v>
                </c:pt>
                <c:pt idx="299">
                  <c:v>44.480803254859552</c:v>
                </c:pt>
                <c:pt idx="300">
                  <c:v>39.43014499269416</c:v>
                </c:pt>
                <c:pt idx="301">
                  <c:v>41.845160726573674</c:v>
                </c:pt>
                <c:pt idx="302">
                  <c:v>38.796667868156511</c:v>
                </c:pt>
                <c:pt idx="303">
                  <c:v>39.209846015510841</c:v>
                </c:pt>
                <c:pt idx="304">
                  <c:v>44.480803254859552</c:v>
                </c:pt>
                <c:pt idx="305">
                  <c:v>36.845448355961388</c:v>
                </c:pt>
                <c:pt idx="306">
                  <c:v>31.088950298369983</c:v>
                </c:pt>
                <c:pt idx="307">
                  <c:v>48.190914628876648</c:v>
                </c:pt>
                <c:pt idx="308">
                  <c:v>45.65661420160999</c:v>
                </c:pt>
                <c:pt idx="309">
                  <c:v>31.509471744963758</c:v>
                </c:pt>
                <c:pt idx="310">
                  <c:v>41.845160726573674</c:v>
                </c:pt>
                <c:pt idx="311">
                  <c:v>49.472265609355603</c:v>
                </c:pt>
                <c:pt idx="312">
                  <c:v>49.472265609355603</c:v>
                </c:pt>
                <c:pt idx="313">
                  <c:v>44.480803254859552</c:v>
                </c:pt>
                <c:pt idx="314">
                  <c:v>39.836897753213982</c:v>
                </c:pt>
                <c:pt idx="315">
                  <c:v>34.93572029316352</c:v>
                </c:pt>
                <c:pt idx="316">
                  <c:v>44.480803254859552</c:v>
                </c:pt>
                <c:pt idx="317">
                  <c:v>49.472265609355603</c:v>
                </c:pt>
                <c:pt idx="318">
                  <c:v>49.472265609355603</c:v>
                </c:pt>
                <c:pt idx="319">
                  <c:v>48.3706322155262</c:v>
                </c:pt>
                <c:pt idx="320">
                  <c:v>47.624676220134596</c:v>
                </c:pt>
                <c:pt idx="321">
                  <c:v>49.472265609355603</c:v>
                </c:pt>
                <c:pt idx="322">
                  <c:v>49.472265609355603</c:v>
                </c:pt>
                <c:pt idx="323">
                  <c:v>44.480803254859552</c:v>
                </c:pt>
                <c:pt idx="324">
                  <c:v>49.472265609355603</c:v>
                </c:pt>
                <c:pt idx="325">
                  <c:v>48.3706322155262</c:v>
                </c:pt>
                <c:pt idx="326">
                  <c:v>48.190914628876648</c:v>
                </c:pt>
                <c:pt idx="327">
                  <c:v>48.3706322155262</c:v>
                </c:pt>
                <c:pt idx="328">
                  <c:v>49.472265609355603</c:v>
                </c:pt>
                <c:pt idx="329">
                  <c:v>48.190914628876648</c:v>
                </c:pt>
                <c:pt idx="330">
                  <c:v>49.472265609355603</c:v>
                </c:pt>
                <c:pt idx="331">
                  <c:v>44.480803254859552</c:v>
                </c:pt>
                <c:pt idx="332">
                  <c:v>49.472265609355603</c:v>
                </c:pt>
                <c:pt idx="333">
                  <c:v>47.050342424606512</c:v>
                </c:pt>
                <c:pt idx="334">
                  <c:v>43.877681051776932</c:v>
                </c:pt>
                <c:pt idx="335">
                  <c:v>39.209846015510841</c:v>
                </c:pt>
                <c:pt idx="336">
                  <c:v>39.209846015510841</c:v>
                </c:pt>
                <c:pt idx="337">
                  <c:v>48.190914628876648</c:v>
                </c:pt>
                <c:pt idx="338">
                  <c:v>41.845160726573674</c:v>
                </c:pt>
                <c:pt idx="339">
                  <c:v>43.877681051776932</c:v>
                </c:pt>
                <c:pt idx="340">
                  <c:v>44.480803254859552</c:v>
                </c:pt>
                <c:pt idx="341">
                  <c:v>31.164043413833152</c:v>
                </c:pt>
                <c:pt idx="342">
                  <c:v>38.796667868156511</c:v>
                </c:pt>
                <c:pt idx="343">
                  <c:v>39.43014499269416</c:v>
                </c:pt>
                <c:pt idx="344">
                  <c:v>47.050342424606512</c:v>
                </c:pt>
                <c:pt idx="345">
                  <c:v>48.924789816295281</c:v>
                </c:pt>
                <c:pt idx="346">
                  <c:v>38.796667868156511</c:v>
                </c:pt>
                <c:pt idx="347">
                  <c:v>45.073491128999954</c:v>
                </c:pt>
                <c:pt idx="348">
                  <c:v>36.845448355961388</c:v>
                </c:pt>
                <c:pt idx="349">
                  <c:v>47.050342424606512</c:v>
                </c:pt>
                <c:pt idx="350">
                  <c:v>47.809251038855756</c:v>
                </c:pt>
                <c:pt idx="351">
                  <c:v>35.356241739757294</c:v>
                </c:pt>
                <c:pt idx="352">
                  <c:v>39.43014499269416</c:v>
                </c:pt>
                <c:pt idx="353">
                  <c:v>41.444040610356844</c:v>
                </c:pt>
                <c:pt idx="354">
                  <c:v>44.480803254859552</c:v>
                </c:pt>
                <c:pt idx="355">
                  <c:v>36.19728463294485</c:v>
                </c:pt>
                <c:pt idx="356">
                  <c:v>27.057951860306783</c:v>
                </c:pt>
                <c:pt idx="357">
                  <c:v>35.776763186351076</c:v>
                </c:pt>
                <c:pt idx="358">
                  <c:v>47.050342424606512</c:v>
                </c:pt>
                <c:pt idx="359">
                  <c:v>36.19728463294485</c:v>
                </c:pt>
                <c:pt idx="360">
                  <c:v>45.46691230459102</c:v>
                </c:pt>
                <c:pt idx="361">
                  <c:v>38.796667868156511</c:v>
                </c:pt>
                <c:pt idx="362">
                  <c:v>41.845160726573674</c:v>
                </c:pt>
                <c:pt idx="363">
                  <c:v>49.472265609355603</c:v>
                </c:pt>
                <c:pt idx="364">
                  <c:v>47.050342424606512</c:v>
                </c:pt>
                <c:pt idx="365">
                  <c:v>45.073491128999954</c:v>
                </c:pt>
                <c:pt idx="366">
                  <c:v>38.796667868156511</c:v>
                </c:pt>
                <c:pt idx="367">
                  <c:v>39.836897753213982</c:v>
                </c:pt>
                <c:pt idx="368">
                  <c:v>48.924789816295281</c:v>
                </c:pt>
                <c:pt idx="369">
                  <c:v>36.432776643037371</c:v>
                </c:pt>
                <c:pt idx="370">
                  <c:v>41.444040610356844</c:v>
                </c:pt>
                <c:pt idx="371">
                  <c:v>35.776763186351076</c:v>
                </c:pt>
                <c:pt idx="372">
                  <c:v>31.088950298369983</c:v>
                </c:pt>
                <c:pt idx="373">
                  <c:v>49.472265609355603</c:v>
                </c:pt>
                <c:pt idx="374">
                  <c:v>39.209846015510841</c:v>
                </c:pt>
                <c:pt idx="375">
                  <c:v>44.68166408699728</c:v>
                </c:pt>
                <c:pt idx="376">
                  <c:v>39.836897753213982</c:v>
                </c:pt>
                <c:pt idx="377">
                  <c:v>44.480803254859552</c:v>
                </c:pt>
                <c:pt idx="378">
                  <c:v>39.43014499269416</c:v>
                </c:pt>
                <c:pt idx="379">
                  <c:v>47.050342424606512</c:v>
                </c:pt>
                <c:pt idx="380">
                  <c:v>44.480803254859552</c:v>
                </c:pt>
                <c:pt idx="381">
                  <c:v>31.149024790740526</c:v>
                </c:pt>
                <c:pt idx="382">
                  <c:v>31.118987544555253</c:v>
                </c:pt>
                <c:pt idx="383">
                  <c:v>35.356241739757294</c:v>
                </c:pt>
                <c:pt idx="384">
                  <c:v>31.088950298369983</c:v>
                </c:pt>
                <c:pt idx="385">
                  <c:v>45.073491128999954</c:v>
                </c:pt>
                <c:pt idx="386">
                  <c:v>47.624676220134596</c:v>
                </c:pt>
                <c:pt idx="387">
                  <c:v>36.19728463294485</c:v>
                </c:pt>
                <c:pt idx="388">
                  <c:v>31.149024790740526</c:v>
                </c:pt>
                <c:pt idx="389">
                  <c:v>45.46691230459102</c:v>
                </c:pt>
                <c:pt idx="390">
                  <c:v>47.624676220134596</c:v>
                </c:pt>
                <c:pt idx="391">
                  <c:v>36.19728463294485</c:v>
                </c:pt>
                <c:pt idx="392">
                  <c:v>36.432776643037371</c:v>
                </c:pt>
                <c:pt idx="393">
                  <c:v>49.472265609355603</c:v>
                </c:pt>
                <c:pt idx="394">
                  <c:v>45.46691230459102</c:v>
                </c:pt>
                <c:pt idx="395">
                  <c:v>30.270735712283237</c:v>
                </c:pt>
                <c:pt idx="396">
                  <c:v>36.19728463294485</c:v>
                </c:pt>
                <c:pt idx="397">
                  <c:v>35.356241739757294</c:v>
                </c:pt>
                <c:pt idx="398">
                  <c:v>26.607393167527732</c:v>
                </c:pt>
                <c:pt idx="399">
                  <c:v>45.073491128999954</c:v>
                </c:pt>
                <c:pt idx="400">
                  <c:v>39.836897753213982</c:v>
                </c:pt>
                <c:pt idx="401">
                  <c:v>41.845160726573674</c:v>
                </c:pt>
                <c:pt idx="402">
                  <c:v>39.209846015510841</c:v>
                </c:pt>
                <c:pt idx="403">
                  <c:v>39.836897753213982</c:v>
                </c:pt>
                <c:pt idx="404">
                  <c:v>44.480803254859552</c:v>
                </c:pt>
                <c:pt idx="405">
                  <c:v>38.796667868156511</c:v>
                </c:pt>
                <c:pt idx="406">
                  <c:v>31.088950298369983</c:v>
                </c:pt>
                <c:pt idx="407">
                  <c:v>48.3706322155262</c:v>
                </c:pt>
                <c:pt idx="408">
                  <c:v>47.050342424606512</c:v>
                </c:pt>
                <c:pt idx="409">
                  <c:v>34.93572029316352</c:v>
                </c:pt>
                <c:pt idx="410">
                  <c:v>41.845160726573674</c:v>
                </c:pt>
                <c:pt idx="411">
                  <c:v>49.472265609355603</c:v>
                </c:pt>
                <c:pt idx="412">
                  <c:v>49.472265609355603</c:v>
                </c:pt>
                <c:pt idx="413">
                  <c:v>44.480803254859552</c:v>
                </c:pt>
                <c:pt idx="414">
                  <c:v>41.230625976210497</c:v>
                </c:pt>
                <c:pt idx="415">
                  <c:v>35.356241739757294</c:v>
                </c:pt>
                <c:pt idx="416">
                  <c:v>44.68166408699728</c:v>
                </c:pt>
                <c:pt idx="417">
                  <c:v>49.472265609355603</c:v>
                </c:pt>
                <c:pt idx="418">
                  <c:v>49.472265609355603</c:v>
                </c:pt>
                <c:pt idx="419">
                  <c:v>48.3706322155262</c:v>
                </c:pt>
                <c:pt idx="420">
                  <c:v>47.624676220134596</c:v>
                </c:pt>
                <c:pt idx="421">
                  <c:v>49.472265609355603</c:v>
                </c:pt>
                <c:pt idx="422">
                  <c:v>49.472265609355603</c:v>
                </c:pt>
                <c:pt idx="423">
                  <c:v>44.480803254859552</c:v>
                </c:pt>
                <c:pt idx="424">
                  <c:v>49.472265609355603</c:v>
                </c:pt>
                <c:pt idx="425">
                  <c:v>48.3706322155262</c:v>
                </c:pt>
                <c:pt idx="426">
                  <c:v>48.190914628876648</c:v>
                </c:pt>
                <c:pt idx="427">
                  <c:v>48.3706322155262</c:v>
                </c:pt>
                <c:pt idx="428">
                  <c:v>49.472265609355603</c:v>
                </c:pt>
                <c:pt idx="429">
                  <c:v>48.190914628876648</c:v>
                </c:pt>
                <c:pt idx="430">
                  <c:v>49.472265609355603</c:v>
                </c:pt>
                <c:pt idx="431">
                  <c:v>44.480803254859552</c:v>
                </c:pt>
                <c:pt idx="432">
                  <c:v>49.472265609355603</c:v>
                </c:pt>
                <c:pt idx="433">
                  <c:v>47.240044321625483</c:v>
                </c:pt>
                <c:pt idx="434">
                  <c:v>44.480803254859552</c:v>
                </c:pt>
                <c:pt idx="435">
                  <c:v>39.209846015510841</c:v>
                </c:pt>
                <c:pt idx="436">
                  <c:v>39.43014499269416</c:v>
                </c:pt>
                <c:pt idx="437">
                  <c:v>48.3706322155262</c:v>
                </c:pt>
                <c:pt idx="438">
                  <c:v>41.845160726573674</c:v>
                </c:pt>
                <c:pt idx="439">
                  <c:v>44.480803254859552</c:v>
                </c:pt>
                <c:pt idx="440">
                  <c:v>44.480803254859552</c:v>
                </c:pt>
                <c:pt idx="441">
                  <c:v>31.164043413833152</c:v>
                </c:pt>
                <c:pt idx="442">
                  <c:v>38.796667868156511</c:v>
                </c:pt>
                <c:pt idx="443">
                  <c:v>39.836897753213982</c:v>
                </c:pt>
                <c:pt idx="444">
                  <c:v>47.050342424606512</c:v>
                </c:pt>
                <c:pt idx="445">
                  <c:v>48.924789816295281</c:v>
                </c:pt>
                <c:pt idx="446">
                  <c:v>39.209846015510841</c:v>
                </c:pt>
                <c:pt idx="447">
                  <c:v>45.073491128999954</c:v>
                </c:pt>
                <c:pt idx="448">
                  <c:v>36.845448355961388</c:v>
                </c:pt>
                <c:pt idx="449">
                  <c:v>47.240044321625483</c:v>
                </c:pt>
                <c:pt idx="450">
                  <c:v>48.190914628876648</c:v>
                </c:pt>
                <c:pt idx="451">
                  <c:v>35.776763186351076</c:v>
                </c:pt>
                <c:pt idx="452">
                  <c:v>39.836897753213982</c:v>
                </c:pt>
                <c:pt idx="453">
                  <c:v>41.444040610356844</c:v>
                </c:pt>
                <c:pt idx="454">
                  <c:v>44.480803254859552</c:v>
                </c:pt>
                <c:pt idx="455">
                  <c:v>36.19728463294485</c:v>
                </c:pt>
                <c:pt idx="456">
                  <c:v>27.057951860306783</c:v>
                </c:pt>
                <c:pt idx="457">
                  <c:v>35.776763186351076</c:v>
                </c:pt>
                <c:pt idx="458">
                  <c:v>47.240044321625483</c:v>
                </c:pt>
                <c:pt idx="459">
                  <c:v>36.19728463294485</c:v>
                </c:pt>
                <c:pt idx="460">
                  <c:v>45.65661420160999</c:v>
                </c:pt>
                <c:pt idx="461">
                  <c:v>38.796667868156511</c:v>
                </c:pt>
                <c:pt idx="462">
                  <c:v>41.845160726573674</c:v>
                </c:pt>
                <c:pt idx="463">
                  <c:v>49.472265609355603</c:v>
                </c:pt>
                <c:pt idx="464">
                  <c:v>47.050342424606512</c:v>
                </c:pt>
                <c:pt idx="465">
                  <c:v>45.073491128999954</c:v>
                </c:pt>
                <c:pt idx="466">
                  <c:v>38.796667868156511</c:v>
                </c:pt>
                <c:pt idx="467">
                  <c:v>41.230625976210497</c:v>
                </c:pt>
                <c:pt idx="468">
                  <c:v>48.924789816295281</c:v>
                </c:pt>
                <c:pt idx="469">
                  <c:v>36.845448355961388</c:v>
                </c:pt>
                <c:pt idx="470">
                  <c:v>41.845160726573674</c:v>
                </c:pt>
                <c:pt idx="471">
                  <c:v>35.776763186351076</c:v>
                </c:pt>
                <c:pt idx="472">
                  <c:v>31.088950298369983</c:v>
                </c:pt>
                <c:pt idx="473">
                  <c:v>49.472265609355603</c:v>
                </c:pt>
                <c:pt idx="474">
                  <c:v>39.209846015510841</c:v>
                </c:pt>
                <c:pt idx="475">
                  <c:v>45.073491128999954</c:v>
                </c:pt>
                <c:pt idx="476">
                  <c:v>39.836897753213982</c:v>
                </c:pt>
                <c:pt idx="477">
                  <c:v>44.480803254859552</c:v>
                </c:pt>
                <c:pt idx="478">
                  <c:v>39.836897753213982</c:v>
                </c:pt>
                <c:pt idx="479">
                  <c:v>47.050342424606512</c:v>
                </c:pt>
                <c:pt idx="480">
                  <c:v>44.480803254859552</c:v>
                </c:pt>
                <c:pt idx="481">
                  <c:v>31.149024790740526</c:v>
                </c:pt>
                <c:pt idx="482">
                  <c:v>31.118987544555253</c:v>
                </c:pt>
                <c:pt idx="483">
                  <c:v>35.356241739757294</c:v>
                </c:pt>
                <c:pt idx="484">
                  <c:v>31.088950298369983</c:v>
                </c:pt>
                <c:pt idx="485">
                  <c:v>45.073491128999954</c:v>
                </c:pt>
                <c:pt idx="486">
                  <c:v>47.624676220134596</c:v>
                </c:pt>
                <c:pt idx="487">
                  <c:v>36.19728463294485</c:v>
                </c:pt>
                <c:pt idx="488">
                  <c:v>31.149024790740526</c:v>
                </c:pt>
                <c:pt idx="489">
                  <c:v>45.65661420160999</c:v>
                </c:pt>
                <c:pt idx="490">
                  <c:v>47.624676220134596</c:v>
                </c:pt>
                <c:pt idx="491">
                  <c:v>36.19728463294485</c:v>
                </c:pt>
                <c:pt idx="492">
                  <c:v>36.432776643037371</c:v>
                </c:pt>
                <c:pt idx="493">
                  <c:v>49.472265609355603</c:v>
                </c:pt>
                <c:pt idx="494">
                  <c:v>45.46691230459102</c:v>
                </c:pt>
                <c:pt idx="495">
                  <c:v>30.255717089190593</c:v>
                </c:pt>
                <c:pt idx="496">
                  <c:v>36.19728463294485</c:v>
                </c:pt>
                <c:pt idx="497">
                  <c:v>35.356241739757294</c:v>
                </c:pt>
                <c:pt idx="498">
                  <c:v>26.607393167527732</c:v>
                </c:pt>
                <c:pt idx="499">
                  <c:v>45.073491128999954</c:v>
                </c:pt>
                <c:pt idx="500">
                  <c:v>41.230625976210497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A4-47F5-A420-F8FB7992E930}"/>
            </c:ext>
          </c:extLst>
        </c:ser>
        <c:ser>
          <c:idx val="1"/>
          <c:order val="1"/>
          <c:tx>
            <c:strRef>
              <c:f>'#난이도_계산'!$L$12</c:f>
              <c:strCache>
                <c:ptCount val="1"/>
                <c:pt idx="0">
                  <c:v>이동평균</c:v>
                </c:pt>
              </c:strCache>
            </c:strRef>
          </c:tx>
          <c:spPr>
            <a:ln w="22000">
              <a:solidFill>
                <a:srgbClr val="1D9E75"/>
              </a:solidFill>
              <a:prstDash val="solid"/>
            </a:ln>
          </c:spPr>
          <c:marker>
            <c:symbol val="none"/>
          </c:marker>
          <c:cat>
            <c:numRef>
              <c:f>'#난이도_계산'!$A$14:$A$513</c:f>
              <c:numCache>
                <c:formatCode>General</c:formatCode>
                <c:ptCount val="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cat>
          <c:val>
            <c:numRef>
              <c:f>'#난이도_계산'!$L$13:$L$513</c:f>
              <c:numCache>
                <c:formatCode>0.0</c:formatCode>
                <c:ptCount val="501"/>
                <c:pt idx="0" formatCode="General">
                  <c:v>0</c:v>
                </c:pt>
                <c:pt idx="1">
                  <c:v>21.639232648484125</c:v>
                </c:pt>
                <c:pt idx="2">
                  <c:v>21.981406944611322</c:v>
                </c:pt>
                <c:pt idx="3">
                  <c:v>21.913973326925394</c:v>
                </c:pt>
                <c:pt idx="4">
                  <c:v>22.010092514718259</c:v>
                </c:pt>
                <c:pt idx="5">
                  <c:v>23.999118907445236</c:v>
                </c:pt>
                <c:pt idx="6">
                  <c:v>25.724418278665553</c:v>
                </c:pt>
                <c:pt idx="7">
                  <c:v>25.54179182185911</c:v>
                </c:pt>
                <c:pt idx="8">
                  <c:v>25.814530017221358</c:v>
                </c:pt>
                <c:pt idx="9">
                  <c:v>29.957787656694308</c:v>
                </c:pt>
                <c:pt idx="10">
                  <c:v>30.625015018623095</c:v>
                </c:pt>
                <c:pt idx="11">
                  <c:v>29.892346509671995</c:v>
                </c:pt>
                <c:pt idx="12">
                  <c:v>30.077976691096961</c:v>
                </c:pt>
                <c:pt idx="13">
                  <c:v>29.895350234290522</c:v>
                </c:pt>
                <c:pt idx="14">
                  <c:v>27.38728022748208</c:v>
                </c:pt>
                <c:pt idx="15">
                  <c:v>27.387280227482073</c:v>
                </c:pt>
                <c:pt idx="16">
                  <c:v>29.9577876566943</c:v>
                </c:pt>
                <c:pt idx="17">
                  <c:v>32.347310665224882</c:v>
                </c:pt>
                <c:pt idx="18">
                  <c:v>34.246225319396054</c:v>
                </c:pt>
                <c:pt idx="19">
                  <c:v>37.623813528775678</c:v>
                </c:pt>
                <c:pt idx="20">
                  <c:v>39.458288277464057</c:v>
                </c:pt>
                <c:pt idx="21">
                  <c:v>37.620449357202929</c:v>
                </c:pt>
                <c:pt idx="22">
                  <c:v>38.340141775801996</c:v>
                </c:pt>
                <c:pt idx="23">
                  <c:v>39.093515959790139</c:v>
                </c:pt>
                <c:pt idx="24">
                  <c:v>36.645920941968043</c:v>
                </c:pt>
                <c:pt idx="25">
                  <c:v>34.897593015339019</c:v>
                </c:pt>
                <c:pt idx="26">
                  <c:v>38.10997637069967</c:v>
                </c:pt>
                <c:pt idx="27">
                  <c:v>37.383315310985623</c:v>
                </c:pt>
                <c:pt idx="28">
                  <c:v>39.578597460851462</c:v>
                </c:pt>
                <c:pt idx="29">
                  <c:v>38.824262084985378</c:v>
                </c:pt>
                <c:pt idx="30">
                  <c:v>40.488485722295643</c:v>
                </c:pt>
                <c:pt idx="31">
                  <c:v>37.439745284152352</c:v>
                </c:pt>
                <c:pt idx="32">
                  <c:v>36.685409908286275</c:v>
                </c:pt>
                <c:pt idx="33">
                  <c:v>32.740358043974524</c:v>
                </c:pt>
                <c:pt idx="34">
                  <c:v>31.829027994713442</c:v>
                </c:pt>
                <c:pt idx="35">
                  <c:v>30.248908646721937</c:v>
                </c:pt>
                <c:pt idx="36">
                  <c:v>30.082262004886058</c:v>
                </c:pt>
                <c:pt idx="37">
                  <c:v>30.082262004886058</c:v>
                </c:pt>
                <c:pt idx="38">
                  <c:v>30.98758460491009</c:v>
                </c:pt>
                <c:pt idx="39">
                  <c:v>30.085065481196686</c:v>
                </c:pt>
                <c:pt idx="40">
                  <c:v>28.251191477432013</c:v>
                </c:pt>
                <c:pt idx="41">
                  <c:v>28.254195202050546</c:v>
                </c:pt>
                <c:pt idx="42">
                  <c:v>29.008530577916616</c:v>
                </c:pt>
                <c:pt idx="43">
                  <c:v>30.942488685970609</c:v>
                </c:pt>
                <c:pt idx="44">
                  <c:v>32.580680043253636</c:v>
                </c:pt>
                <c:pt idx="45">
                  <c:v>33.476991469422082</c:v>
                </c:pt>
                <c:pt idx="46">
                  <c:v>32.744322960470981</c:v>
                </c:pt>
                <c:pt idx="47">
                  <c:v>32.82842724978974</c:v>
                </c:pt>
                <c:pt idx="48">
                  <c:v>31.954223236813654</c:v>
                </c:pt>
                <c:pt idx="49">
                  <c:v>31.311666466418359</c:v>
                </c:pt>
                <c:pt idx="50">
                  <c:v>31.145019824582484</c:v>
                </c:pt>
                <c:pt idx="51">
                  <c:v>32.053346149225042</c:v>
                </c:pt>
                <c:pt idx="52">
                  <c:v>31.115783571628821</c:v>
                </c:pt>
                <c:pt idx="53">
                  <c:v>29.150706876526897</c:v>
                </c:pt>
                <c:pt idx="54">
                  <c:v>28.158076014257681</c:v>
                </c:pt>
                <c:pt idx="55">
                  <c:v>27.428411229925111</c:v>
                </c:pt>
                <c:pt idx="56">
                  <c:v>28.353958909047218</c:v>
                </c:pt>
                <c:pt idx="57">
                  <c:v>28.277424005767148</c:v>
                </c:pt>
                <c:pt idx="58">
                  <c:v>30.027193720213063</c:v>
                </c:pt>
                <c:pt idx="59">
                  <c:v>31.656373903640514</c:v>
                </c:pt>
                <c:pt idx="60">
                  <c:v>32.558692779046012</c:v>
                </c:pt>
                <c:pt idx="61">
                  <c:v>34.699587488485726</c:v>
                </c:pt>
                <c:pt idx="62">
                  <c:v>35.797789258680766</c:v>
                </c:pt>
                <c:pt idx="63">
                  <c:v>35.713684969362006</c:v>
                </c:pt>
                <c:pt idx="64">
                  <c:v>35.895350234290518</c:v>
                </c:pt>
                <c:pt idx="65">
                  <c:v>35.898353958909048</c:v>
                </c:pt>
                <c:pt idx="66">
                  <c:v>35.417922930315939</c:v>
                </c:pt>
                <c:pt idx="67">
                  <c:v>34.585490714368163</c:v>
                </c:pt>
                <c:pt idx="68">
                  <c:v>33.82214416464651</c:v>
                </c:pt>
                <c:pt idx="69">
                  <c:v>33.643482624336528</c:v>
                </c:pt>
                <c:pt idx="70">
                  <c:v>32.831275487486835</c:v>
                </c:pt>
                <c:pt idx="71">
                  <c:v>33.42964952216424</c:v>
                </c:pt>
                <c:pt idx="72">
                  <c:v>33.336534058989912</c:v>
                </c:pt>
                <c:pt idx="73">
                  <c:v>34.183984898030317</c:v>
                </c:pt>
                <c:pt idx="74">
                  <c:v>34.353635264484716</c:v>
                </c:pt>
                <c:pt idx="75">
                  <c:v>35.926185226437539</c:v>
                </c:pt>
                <c:pt idx="76">
                  <c:v>32.735792382554372</c:v>
                </c:pt>
                <c:pt idx="77">
                  <c:v>33.875077095598542</c:v>
                </c:pt>
                <c:pt idx="78">
                  <c:v>33.875077095598542</c:v>
                </c:pt>
                <c:pt idx="79">
                  <c:v>31.977123633305304</c:v>
                </c:pt>
                <c:pt idx="80">
                  <c:v>29.591565541271176</c:v>
                </c:pt>
                <c:pt idx="81">
                  <c:v>29.424918899435294</c:v>
                </c:pt>
                <c:pt idx="82">
                  <c:v>27.467419600304378</c:v>
                </c:pt>
                <c:pt idx="83">
                  <c:v>27.551523889623134</c:v>
                </c:pt>
                <c:pt idx="84">
                  <c:v>31.514487965076693</c:v>
                </c:pt>
                <c:pt idx="85">
                  <c:v>33.145710681244744</c:v>
                </c:pt>
                <c:pt idx="86">
                  <c:v>31.414403860787377</c:v>
                </c:pt>
                <c:pt idx="87">
                  <c:v>33.762147062357322</c:v>
                </c:pt>
                <c:pt idx="88">
                  <c:v>34.574173975729899</c:v>
                </c:pt>
                <c:pt idx="89">
                  <c:v>32.515170811806641</c:v>
                </c:pt>
                <c:pt idx="90">
                  <c:v>32.509163362569588</c:v>
                </c:pt>
                <c:pt idx="91">
                  <c:v>38.077772437822901</c:v>
                </c:pt>
                <c:pt idx="92">
                  <c:v>38.077772437822901</c:v>
                </c:pt>
                <c:pt idx="93">
                  <c:v>34.436236933797908</c:v>
                </c:pt>
                <c:pt idx="94">
                  <c:v>34.436236933797908</c:v>
                </c:pt>
                <c:pt idx="95">
                  <c:v>34.53235612159078</c:v>
                </c:pt>
                <c:pt idx="96">
                  <c:v>28.966750770955986</c:v>
                </c:pt>
                <c:pt idx="97">
                  <c:v>28.446874123913652</c:v>
                </c:pt>
                <c:pt idx="98">
                  <c:v>30.338820136969844</c:v>
                </c:pt>
                <c:pt idx="99">
                  <c:v>31.180263526773196</c:v>
                </c:pt>
                <c:pt idx="100">
                  <c:v>30.991028875806002</c:v>
                </c:pt>
                <c:pt idx="101">
                  <c:v>32.879971164243663</c:v>
                </c:pt>
                <c:pt idx="102">
                  <c:v>32.927069566262176</c:v>
                </c:pt>
                <c:pt idx="103">
                  <c:v>32.842965276943417</c:v>
                </c:pt>
                <c:pt idx="104">
                  <c:v>31.825864071448599</c:v>
                </c:pt>
                <c:pt idx="105">
                  <c:v>34.706876526893353</c:v>
                </c:pt>
                <c:pt idx="106">
                  <c:v>36.735211662461452</c:v>
                </c:pt>
                <c:pt idx="107">
                  <c:v>35.771576755176419</c:v>
                </c:pt>
                <c:pt idx="108">
                  <c:v>36.709139332772637</c:v>
                </c:pt>
                <c:pt idx="109">
                  <c:v>40.549445312187103</c:v>
                </c:pt>
                <c:pt idx="110">
                  <c:v>41.172930012162446</c:v>
                </c:pt>
                <c:pt idx="111">
                  <c:v>40.29589448811263</c:v>
                </c:pt>
                <c:pt idx="112">
                  <c:v>41.044222414741647</c:v>
                </c:pt>
                <c:pt idx="113">
                  <c:v>40.202779024938295</c:v>
                </c:pt>
                <c:pt idx="114">
                  <c:v>38.067659476698466</c:v>
                </c:pt>
                <c:pt idx="115">
                  <c:v>37.954411794950062</c:v>
                </c:pt>
                <c:pt idx="116">
                  <c:v>40.259448566863028</c:v>
                </c:pt>
                <c:pt idx="117">
                  <c:v>42.281582679829775</c:v>
                </c:pt>
                <c:pt idx="118">
                  <c:v>44.82731393203705</c:v>
                </c:pt>
                <c:pt idx="119">
                  <c:v>46.962433480276879</c:v>
                </c:pt>
                <c:pt idx="120">
                  <c:v>47.331951358121067</c:v>
                </c:pt>
                <c:pt idx="121">
                  <c:v>45.026914586208107</c:v>
                </c:pt>
                <c:pt idx="122">
                  <c:v>45.458467369316828</c:v>
                </c:pt>
                <c:pt idx="123">
                  <c:v>45.814253999283437</c:v>
                </c:pt>
                <c:pt idx="124">
                  <c:v>44.934499103212303</c:v>
                </c:pt>
                <c:pt idx="125">
                  <c:v>44.171368821663187</c:v>
                </c:pt>
                <c:pt idx="126">
                  <c:v>46.696732272342025</c:v>
                </c:pt>
                <c:pt idx="127">
                  <c:v>46.186495254115101</c:v>
                </c:pt>
                <c:pt idx="128">
                  <c:v>46.949625535664225</c:v>
                </c:pt>
                <c:pt idx="129">
                  <c:v>45.776896512966402</c:v>
                </c:pt>
                <c:pt idx="130">
                  <c:v>46.540026794515519</c:v>
                </c:pt>
                <c:pt idx="131">
                  <c:v>45.501562157188765</c:v>
                </c:pt>
                <c:pt idx="132">
                  <c:v>44.246197505020078</c:v>
                </c:pt>
                <c:pt idx="133">
                  <c:v>41.422992731100408</c:v>
                </c:pt>
                <c:pt idx="134">
                  <c:v>40.652271875949701</c:v>
                </c:pt>
                <c:pt idx="135">
                  <c:v>39.889141594400584</c:v>
                </c:pt>
                <c:pt idx="136">
                  <c:v>38.272610036445187</c:v>
                </c:pt>
                <c:pt idx="137">
                  <c:v>38.272610036445187</c:v>
                </c:pt>
                <c:pt idx="138">
                  <c:v>39.08739068703256</c:v>
                </c:pt>
                <c:pt idx="139">
                  <c:v>37.427732711142461</c:v>
                </c:pt>
                <c:pt idx="140">
                  <c:v>35.283553929453163</c:v>
                </c:pt>
                <c:pt idx="141">
                  <c:v>35.199449640134411</c:v>
                </c:pt>
                <c:pt idx="142">
                  <c:v>36.336276717475016</c:v>
                </c:pt>
                <c:pt idx="143">
                  <c:v>37.975182962963103</c:v>
                </c:pt>
                <c:pt idx="144">
                  <c:v>39.634840938853209</c:v>
                </c:pt>
                <c:pt idx="145">
                  <c:v>41.016729025535241</c:v>
                </c:pt>
                <c:pt idx="146">
                  <c:v>40.848520446897723</c:v>
                </c:pt>
                <c:pt idx="147">
                  <c:v>40.848520446897723</c:v>
                </c:pt>
                <c:pt idx="148">
                  <c:v>40.416967663789009</c:v>
                </c:pt>
                <c:pt idx="149">
                  <c:v>39.479405086192791</c:v>
                </c:pt>
                <c:pt idx="150">
                  <c:v>38.26572557814827</c:v>
                </c:pt>
                <c:pt idx="151">
                  <c:v>38.518038446104541</c:v>
                </c:pt>
                <c:pt idx="152">
                  <c:v>37.58925734577543</c:v>
                </c:pt>
                <c:pt idx="153">
                  <c:v>34.713664944531217</c:v>
                </c:pt>
                <c:pt idx="154">
                  <c:v>32.905823220793778</c:v>
                </c:pt>
                <c:pt idx="155">
                  <c:v>31.968260643197567</c:v>
                </c:pt>
                <c:pt idx="156">
                  <c:v>33.624964367580503</c:v>
                </c:pt>
                <c:pt idx="157">
                  <c:v>31.959479165930457</c:v>
                </c:pt>
                <c:pt idx="158">
                  <c:v>34.597677590800821</c:v>
                </c:pt>
                <c:pt idx="159">
                  <c:v>37.343081892134478</c:v>
                </c:pt>
                <c:pt idx="160">
                  <c:v>38.494381503652761</c:v>
                </c:pt>
                <c:pt idx="161">
                  <c:v>39.492673974551977</c:v>
                </c:pt>
                <c:pt idx="162">
                  <c:v>42.086940276531131</c:v>
                </c:pt>
                <c:pt idx="163">
                  <c:v>41.599983937301502</c:v>
                </c:pt>
                <c:pt idx="164">
                  <c:v>41.599983937301502</c:v>
                </c:pt>
                <c:pt idx="165">
                  <c:v>41.470351192698196</c:v>
                </c:pt>
                <c:pt idx="166">
                  <c:v>41.214080996602405</c:v>
                </c:pt>
                <c:pt idx="167">
                  <c:v>39.389168693581951</c:v>
                </c:pt>
                <c:pt idx="168">
                  <c:v>38.389226219459495</c:v>
                </c:pt>
                <c:pt idx="169">
                  <c:v>37.535767931182036</c:v>
                </c:pt>
                <c:pt idx="170">
                  <c:v>36.523112238122643</c:v>
                </c:pt>
                <c:pt idx="171">
                  <c:v>36.779382434218427</c:v>
                </c:pt>
                <c:pt idx="172">
                  <c:v>36.863486723537186</c:v>
                </c:pt>
                <c:pt idx="173">
                  <c:v>37.863429197659642</c:v>
                </c:pt>
                <c:pt idx="174">
                  <c:v>38.885096064574618</c:v>
                </c:pt>
                <c:pt idx="175">
                  <c:v>40.904420026287134</c:v>
                </c:pt>
                <c:pt idx="176">
                  <c:v>38.249423831004989</c:v>
                </c:pt>
                <c:pt idx="177">
                  <c:v>40.030404011134223</c:v>
                </c:pt>
                <c:pt idx="178">
                  <c:v>39.950179987890863</c:v>
                </c:pt>
                <c:pt idx="179">
                  <c:v>38.764870203758541</c:v>
                </c:pt>
                <c:pt idx="180">
                  <c:v>36.751553691283071</c:v>
                </c:pt>
                <c:pt idx="181">
                  <c:v>35.645782535049349</c:v>
                </c:pt>
                <c:pt idx="182">
                  <c:v>32.936250951179467</c:v>
                </c:pt>
                <c:pt idx="183">
                  <c:v>33.016474974422827</c:v>
                </c:pt>
                <c:pt idx="184">
                  <c:v>36.372396316887489</c:v>
                </c:pt>
                <c:pt idx="185">
                  <c:v>37.126731692753559</c:v>
                </c:pt>
                <c:pt idx="186">
                  <c:v>37.047193064854966</c:v>
                </c:pt>
                <c:pt idx="187">
                  <c:v>39.716552482297296</c:v>
                </c:pt>
                <c:pt idx="188">
                  <c:v>40.362218562782559</c:v>
                </c:pt>
                <c:pt idx="189">
                  <c:v>38.023398425812708</c:v>
                </c:pt>
                <c:pt idx="190">
                  <c:v>38.107502715131467</c:v>
                </c:pt>
                <c:pt idx="191">
                  <c:v>41.947808694545941</c:v>
                </c:pt>
                <c:pt idx="192">
                  <c:v>41.947808694545941</c:v>
                </c:pt>
                <c:pt idx="193">
                  <c:v>38.254589102251501</c:v>
                </c:pt>
                <c:pt idx="194">
                  <c:v>38.254589102251501</c:v>
                </c:pt>
                <c:pt idx="195">
                  <c:v>37.401130813974035</c:v>
                </c:pt>
                <c:pt idx="196">
                  <c:v>32.108263658701496</c:v>
                </c:pt>
                <c:pt idx="197">
                  <c:v>31.581135153044318</c:v>
                </c:pt>
                <c:pt idx="198">
                  <c:v>33.62874619073105</c:v>
                </c:pt>
                <c:pt idx="199">
                  <c:v>34.524877393422386</c:v>
                </c:pt>
                <c:pt idx="200">
                  <c:v>35.546544260337363</c:v>
                </c:pt>
                <c:pt idx="201">
                  <c:v>38.314047964931056</c:v>
                </c:pt>
                <c:pt idx="202">
                  <c:v>38.314047964931056</c:v>
                </c:pt>
                <c:pt idx="203">
                  <c:v>38.100310931008991</c:v>
                </c:pt>
                <c:pt idx="204">
                  <c:v>36.35672888927725</c:v>
                </c:pt>
                <c:pt idx="205">
                  <c:v>38.642207206715199</c:v>
                </c:pt>
                <c:pt idx="206">
                  <c:v>40.287815761322911</c:v>
                </c:pt>
                <c:pt idx="207">
                  <c:v>38.05246938636342</c:v>
                </c:pt>
                <c:pt idx="208">
                  <c:v>38.864496299735997</c:v>
                </c:pt>
                <c:pt idx="209">
                  <c:v>42.535151912696072</c:v>
                </c:pt>
                <c:pt idx="210">
                  <c:v>42.870523449076856</c:v>
                </c:pt>
                <c:pt idx="211">
                  <c:v>42.2248573685916</c:v>
                </c:pt>
                <c:pt idx="212">
                  <c:v>43.85050517186766</c:v>
                </c:pt>
                <c:pt idx="213">
                  <c:v>42.100915680898858</c:v>
                </c:pt>
                <c:pt idx="214">
                  <c:v>40.575494704342475</c:v>
                </c:pt>
                <c:pt idx="215">
                  <c:v>40.500145887193824</c:v>
                </c:pt>
                <c:pt idx="216">
                  <c:v>42.025566863750214</c:v>
                </c:pt>
                <c:pt idx="217">
                  <c:v>43.904416215894237</c:v>
                </c:pt>
                <c:pt idx="218">
                  <c:v>46.817948996542235</c:v>
                </c:pt>
                <c:pt idx="219">
                  <c:v>48.343369973098618</c:v>
                </c:pt>
                <c:pt idx="220">
                  <c:v>48.452865131710688</c:v>
                </c:pt>
                <c:pt idx="221">
                  <c:v>46.927444155154305</c:v>
                </c:pt>
                <c:pt idx="222">
                  <c:v>47.074219192638033</c:v>
                </c:pt>
                <c:pt idx="223">
                  <c:v>47.581079278091366</c:v>
                </c:pt>
                <c:pt idx="224">
                  <c:v>47.211561400247163</c:v>
                </c:pt>
                <c:pt idx="225">
                  <c:v>46.955291204151372</c:v>
                </c:pt>
                <c:pt idx="226">
                  <c:v>48.480712180707755</c:v>
                </c:pt>
                <c:pt idx="227">
                  <c:v>48.220689461475622</c:v>
                </c:pt>
                <c:pt idx="228">
                  <c:v>48.476959657571413</c:v>
                </c:pt>
                <c:pt idx="229">
                  <c:v>47.321056558859233</c:v>
                </c:pt>
                <c:pt idx="230">
                  <c:v>47.577326754955017</c:v>
                </c:pt>
                <c:pt idx="231">
                  <c:v>46.7762560940021</c:v>
                </c:pt>
                <c:pt idx="232">
                  <c:v>45.620352995289906</c:v>
                </c:pt>
                <c:pt idx="233">
                  <c:v>43.094989544611067</c:v>
                </c:pt>
                <c:pt idx="234">
                  <c:v>42.485290972927643</c:v>
                </c:pt>
                <c:pt idx="235">
                  <c:v>42.115773095083441</c:v>
                </c:pt>
                <c:pt idx="236">
                  <c:v>40.98977018480803</c:v>
                </c:pt>
                <c:pt idx="237">
                  <c:v>40.98977018480803</c:v>
                </c:pt>
                <c:pt idx="238">
                  <c:v>42.396216723971136</c:v>
                </c:pt>
                <c:pt idx="239">
                  <c:v>40.68802656817796</c:v>
                </c:pt>
                <c:pt idx="240">
                  <c:v>38.402548250740004</c:v>
                </c:pt>
                <c:pt idx="241">
                  <c:v>38.277137903199375</c:v>
                </c:pt>
                <c:pt idx="242">
                  <c:v>39.001488218802841</c:v>
                </c:pt>
                <c:pt idx="243">
                  <c:v>39.975888083026092</c:v>
                </c:pt>
                <c:pt idx="244">
                  <c:v>41.29383433638025</c:v>
                </c:pt>
                <c:pt idx="245">
                  <c:v>42.990710227190739</c:v>
                </c:pt>
                <c:pt idx="246">
                  <c:v>42.388197950677537</c:v>
                </c:pt>
                <c:pt idx="247">
                  <c:v>42.426138330081329</c:v>
                </c:pt>
                <c:pt idx="248">
                  <c:v>42.201137499529622</c:v>
                </c:pt>
                <c:pt idx="249">
                  <c:v>41.903296176288805</c:v>
                </c:pt>
                <c:pt idx="250">
                  <c:v>40.726296932520647</c:v>
                </c:pt>
                <c:pt idx="251">
                  <c:v>41.454219556574472</c:v>
                </c:pt>
                <c:pt idx="252">
                  <c:v>41.098432926607856</c:v>
                </c:pt>
                <c:pt idx="253">
                  <c:v>38.728850319851162</c:v>
                </c:pt>
                <c:pt idx="254">
                  <c:v>36.259187938498286</c:v>
                </c:pt>
                <c:pt idx="255">
                  <c:v>35.571102712818437</c:v>
                </c:pt>
                <c:pt idx="256">
                  <c:v>36.73504600249764</c:v>
                </c:pt>
                <c:pt idx="257">
                  <c:v>35.114862429412469</c:v>
                </c:pt>
                <c:pt idx="258">
                  <c:v>36.974208017942246</c:v>
                </c:pt>
                <c:pt idx="259">
                  <c:v>39.659177379951146</c:v>
                </c:pt>
                <c:pt idx="260">
                  <c:v>40.834054227241779</c:v>
                </c:pt>
                <c:pt idx="261">
                  <c:v>41.597184508790903</c:v>
                </c:pt>
                <c:pt idx="262">
                  <c:v>43.45653009732068</c:v>
                </c:pt>
                <c:pt idx="263">
                  <c:v>43.337992522492598</c:v>
                </c:pt>
                <c:pt idx="264">
                  <c:v>43.337992522492598</c:v>
                </c:pt>
                <c:pt idx="265">
                  <c:v>42.933836530352664</c:v>
                </c:pt>
                <c:pt idx="266">
                  <c:v>42.789319483060176</c:v>
                </c:pt>
                <c:pt idx="267">
                  <c:v>41.014078183849151</c:v>
                </c:pt>
                <c:pt idx="268">
                  <c:v>40.364042728119344</c:v>
                </c:pt>
                <c:pt idx="269">
                  <c:v>40.14873574746332</c:v>
                </c:pt>
                <c:pt idx="270">
                  <c:v>38.524556604035148</c:v>
                </c:pt>
                <c:pt idx="271">
                  <c:v>38.669073651327643</c:v>
                </c:pt>
                <c:pt idx="272">
                  <c:v>38.798706395930949</c:v>
                </c:pt>
                <c:pt idx="273">
                  <c:v>39.448741851660763</c:v>
                </c:pt>
                <c:pt idx="274">
                  <c:v>40.21946270681147</c:v>
                </c:pt>
                <c:pt idx="275">
                  <c:v>42.777208857492859</c:v>
                </c:pt>
                <c:pt idx="276">
                  <c:v>40.724724938723909</c:v>
                </c:pt>
                <c:pt idx="277">
                  <c:v>42.486958107853624</c:v>
                </c:pt>
                <c:pt idx="278">
                  <c:v>42.486958107853624</c:v>
                </c:pt>
                <c:pt idx="279">
                  <c:v>40.877797587518089</c:v>
                </c:pt>
                <c:pt idx="280">
                  <c:v>38.32906261069229</c:v>
                </c:pt>
                <c:pt idx="281">
                  <c:v>37.474237466222817</c:v>
                </c:pt>
                <c:pt idx="282">
                  <c:v>34.476600396256067</c:v>
                </c:pt>
                <c:pt idx="283">
                  <c:v>34.476600396256067</c:v>
                </c:pt>
                <c:pt idx="284">
                  <c:v>37.768726957516357</c:v>
                </c:pt>
                <c:pt idx="285">
                  <c:v>38.697278361256991</c:v>
                </c:pt>
                <c:pt idx="286">
                  <c:v>37.942942985390921</c:v>
                </c:pt>
                <c:pt idx="287">
                  <c:v>40.823955440835668</c:v>
                </c:pt>
                <c:pt idx="288">
                  <c:v>41.337863274785057</c:v>
                </c:pt>
                <c:pt idx="289">
                  <c:v>38.968280668028356</c:v>
                </c:pt>
                <c:pt idx="290">
                  <c:v>39.052384957347108</c:v>
                </c:pt>
                <c:pt idx="291">
                  <c:v>42.7140293964516</c:v>
                </c:pt>
                <c:pt idx="292">
                  <c:v>42.714029396451608</c:v>
                </c:pt>
                <c:pt idx="293">
                  <c:v>39.358108053986939</c:v>
                </c:pt>
                <c:pt idx="294">
                  <c:v>39.358108053986946</c:v>
                </c:pt>
                <c:pt idx="295">
                  <c:v>39.189899475349435</c:v>
                </c:pt>
                <c:pt idx="296">
                  <c:v>34.707036725539673</c:v>
                </c:pt>
                <c:pt idx="297">
                  <c:v>34.588499150711591</c:v>
                </c:pt>
                <c:pt idx="298">
                  <c:v>36.420381006793768</c:v>
                </c:pt>
                <c:pt idx="299">
                  <c:v>37.634060514838296</c:v>
                </c:pt>
                <c:pt idx="300">
                  <c:v>38.322145740518138</c:v>
                </c:pt>
                <c:pt idx="301">
                  <c:v>40.752524571558943</c:v>
                </c:pt>
                <c:pt idx="302">
                  <c:v>40.752524571558943</c:v>
                </c:pt>
                <c:pt idx="303">
                  <c:v>40.235585244212395</c:v>
                </c:pt>
                <c:pt idx="304">
                  <c:v>38.084343158571656</c:v>
                </c:pt>
                <c:pt idx="305">
                  <c:v>39.963192510715679</c:v>
                </c:pt>
                <c:pt idx="306">
                  <c:v>41.252546147935512</c:v>
                </c:pt>
                <c:pt idx="307">
                  <c:v>38.658279845956351</c:v>
                </c:pt>
                <c:pt idx="308">
                  <c:v>39.658222320078814</c:v>
                </c:pt>
                <c:pt idx="309">
                  <c:v>43.334885382275935</c:v>
                </c:pt>
                <c:pt idx="310">
                  <c:v>43.591155578371719</c:v>
                </c:pt>
                <c:pt idx="311">
                  <c:v>43.355993389021634</c:v>
                </c:pt>
                <c:pt idx="312">
                  <c:v>45.021478590671677</c:v>
                </c:pt>
                <c:pt idx="313">
                  <c:v>43.639590503989652</c:v>
                </c:pt>
                <c:pt idx="314">
                  <c:v>42.641298033090443</c:v>
                </c:pt>
                <c:pt idx="315">
                  <c:v>42.641298033090436</c:v>
                </c:pt>
                <c:pt idx="316">
                  <c:v>43.639590503989652</c:v>
                </c:pt>
                <c:pt idx="317">
                  <c:v>45.346337396452085</c:v>
                </c:pt>
                <c:pt idx="318">
                  <c:v>47.884128581846312</c:v>
                </c:pt>
                <c:pt idx="319">
                  <c:v>48.882421052745521</c:v>
                </c:pt>
                <c:pt idx="320">
                  <c:v>48.882421052745521</c:v>
                </c:pt>
                <c:pt idx="321">
                  <c:v>47.884128581846312</c:v>
                </c:pt>
                <c:pt idx="322">
                  <c:v>48.104455260612191</c:v>
                </c:pt>
                <c:pt idx="323">
                  <c:v>48.253646459690515</c:v>
                </c:pt>
                <c:pt idx="324">
                  <c:v>47.997376263594717</c:v>
                </c:pt>
                <c:pt idx="325">
                  <c:v>47.777049584828838</c:v>
                </c:pt>
                <c:pt idx="326">
                  <c:v>48.775342055728046</c:v>
                </c:pt>
                <c:pt idx="327">
                  <c:v>48.519071859632263</c:v>
                </c:pt>
                <c:pt idx="328">
                  <c:v>48.739398538398142</c:v>
                </c:pt>
                <c:pt idx="329">
                  <c:v>47.997376263594717</c:v>
                </c:pt>
                <c:pt idx="330">
                  <c:v>48.217702942360596</c:v>
                </c:pt>
                <c:pt idx="331">
                  <c:v>47.733318305410783</c:v>
                </c:pt>
                <c:pt idx="332">
                  <c:v>46.870671589990835</c:v>
                </c:pt>
                <c:pt idx="333">
                  <c:v>44.818187671221885</c:v>
                </c:pt>
                <c:pt idx="334">
                  <c:v>43.763996223352144</c:v>
                </c:pt>
                <c:pt idx="335">
                  <c:v>43.507726027256354</c:v>
                </c:pt>
                <c:pt idx="336">
                  <c:v>42.466689687649783</c:v>
                </c:pt>
                <c:pt idx="337">
                  <c:v>42.46668968764979</c:v>
                </c:pt>
                <c:pt idx="338">
                  <c:v>43.520881135519531</c:v>
                </c:pt>
                <c:pt idx="339">
                  <c:v>41.911720615183995</c:v>
                </c:pt>
                <c:pt idx="340">
                  <c:v>40.032871263039965</c:v>
                </c:pt>
                <c:pt idx="341">
                  <c:v>39.549868116264058</c:v>
                </c:pt>
                <c:pt idx="342">
                  <c:v>40.184400390829978</c:v>
                </c:pt>
                <c:pt idx="343">
                  <c:v>41.073197703117124</c:v>
                </c:pt>
                <c:pt idx="344">
                  <c:v>42.599722593981795</c:v>
                </c:pt>
                <c:pt idx="345">
                  <c:v>43.855087246150489</c:v>
                </c:pt>
                <c:pt idx="346">
                  <c:v>43.338147918803926</c:v>
                </c:pt>
                <c:pt idx="347">
                  <c:v>43.338147918803926</c:v>
                </c:pt>
                <c:pt idx="348">
                  <c:v>43.115040163316024</c:v>
                </c:pt>
                <c:pt idx="349">
                  <c:v>42.426954937636182</c:v>
                </c:pt>
                <c:pt idx="350">
                  <c:v>41.298285710375019</c:v>
                </c:pt>
                <c:pt idx="351">
                  <c:v>42.218004161254115</c:v>
                </c:pt>
                <c:pt idx="352">
                  <c:v>41.704096327304718</c:v>
                </c:pt>
                <c:pt idx="353">
                  <c:v>39.381703046122539</c:v>
                </c:pt>
                <c:pt idx="354">
                  <c:v>37.72204507023244</c:v>
                </c:pt>
                <c:pt idx="355">
                  <c:v>36.991368708963819</c:v>
                </c:pt>
                <c:pt idx="356">
                  <c:v>38.11262907181375</c:v>
                </c:pt>
                <c:pt idx="357">
                  <c:v>36.455925347430806</c:v>
                </c:pt>
                <c:pt idx="358">
                  <c:v>38.309850881760056</c:v>
                </c:pt>
                <c:pt idx="359">
                  <c:v>40.657594083329997</c:v>
                </c:pt>
                <c:pt idx="360">
                  <c:v>41.871273591374511</c:v>
                </c:pt>
                <c:pt idx="361">
                  <c:v>42.35565822832433</c:v>
                </c:pt>
                <c:pt idx="362">
                  <c:v>44.52626978665667</c:v>
                </c:pt>
                <c:pt idx="363">
                  <c:v>44.447585551538459</c:v>
                </c:pt>
                <c:pt idx="364">
                  <c:v>44.447585551538452</c:v>
                </c:pt>
                <c:pt idx="365">
                  <c:v>44.045932956866508</c:v>
                </c:pt>
                <c:pt idx="366">
                  <c:v>43.936437798254445</c:v>
                </c:pt>
                <c:pt idx="367">
                  <c:v>41.812924641940619</c:v>
                </c:pt>
                <c:pt idx="368">
                  <c:v>41.087034538211995</c:v>
                </c:pt>
                <c:pt idx="369">
                  <c:v>40.483053601850912</c:v>
                </c:pt>
                <c:pt idx="370">
                  <c:v>38.73346411088211</c:v>
                </c:pt>
                <c:pt idx="371">
                  <c:v>38.84295926949418</c:v>
                </c:pt>
                <c:pt idx="372">
                  <c:v>39.398373143988863</c:v>
                </c:pt>
                <c:pt idx="373">
                  <c:v>40.045897839316957</c:v>
                </c:pt>
                <c:pt idx="374">
                  <c:v>40.857924752689534</c:v>
                </c:pt>
                <c:pt idx="375">
                  <c:v>43.536295343987447</c:v>
                </c:pt>
                <c:pt idx="376">
                  <c:v>41.527871220655165</c:v>
                </c:pt>
                <c:pt idx="377">
                  <c:v>43.095970502474287</c:v>
                </c:pt>
                <c:pt idx="378">
                  <c:v>43.055798336046749</c:v>
                </c:pt>
                <c:pt idx="379">
                  <c:v>41.318223743552053</c:v>
                </c:pt>
                <c:pt idx="380">
                  <c:v>38.645860601491201</c:v>
                </c:pt>
                <c:pt idx="381">
                  <c:v>37.831079950903828</c:v>
                </c:pt>
                <c:pt idx="382">
                  <c:v>34.638801525656518</c:v>
                </c:pt>
                <c:pt idx="383">
                  <c:v>34.7573391004846</c:v>
                </c:pt>
                <c:pt idx="384">
                  <c:v>38.05246938636342</c:v>
                </c:pt>
                <c:pt idx="385">
                  <c:v>39.068128804041336</c:v>
                </c:pt>
                <c:pt idx="386">
                  <c:v>38.226685414237984</c:v>
                </c:pt>
                <c:pt idx="387">
                  <c:v>41.102277815482196</c:v>
                </c:pt>
                <c:pt idx="388">
                  <c:v>41.612514833709113</c:v>
                </c:pt>
                <c:pt idx="389">
                  <c:v>39.327036516271164</c:v>
                </c:pt>
                <c:pt idx="390">
                  <c:v>39.37413491828967</c:v>
                </c:pt>
                <c:pt idx="391">
                  <c:v>43.038783082012685</c:v>
                </c:pt>
                <c:pt idx="392">
                  <c:v>43.038783082012685</c:v>
                </c:pt>
                <c:pt idx="393">
                  <c:v>39.567994980442414</c:v>
                </c:pt>
                <c:pt idx="394">
                  <c:v>39.567994980442414</c:v>
                </c:pt>
                <c:pt idx="395">
                  <c:v>39.352687999786404</c:v>
                </c:pt>
                <c:pt idx="396">
                  <c:v>34.779713511420823</c:v>
                </c:pt>
                <c:pt idx="397">
                  <c:v>34.701029276302613</c:v>
                </c:pt>
                <c:pt idx="398">
                  <c:v>36.614261684488767</c:v>
                </c:pt>
                <c:pt idx="399">
                  <c:v>37.743836903214529</c:v>
                </c:pt>
                <c:pt idx="400">
                  <c:v>38.514557758365235</c:v>
                </c:pt>
                <c:pt idx="401">
                  <c:v>41.160458675502483</c:v>
                </c:pt>
                <c:pt idx="402">
                  <c:v>41.041921100674401</c:v>
                </c:pt>
                <c:pt idx="403">
                  <c:v>40.833875123662907</c:v>
                </c:pt>
                <c:pt idx="404">
                  <c:v>38.682633038022175</c:v>
                </c:pt>
                <c:pt idx="405">
                  <c:v>40.514790278025245</c:v>
                </c:pt>
                <c:pt idx="406">
                  <c:v>41.957479212303745</c:v>
                </c:pt>
                <c:pt idx="407">
                  <c:v>40.048462619964546</c:v>
                </c:pt>
                <c:pt idx="408">
                  <c:v>40.658161191647977</c:v>
                </c:pt>
                <c:pt idx="409">
                  <c:v>44.334824253845099</c:v>
                </c:pt>
                <c:pt idx="410">
                  <c:v>44.555150932610978</c:v>
                </c:pt>
                <c:pt idx="411">
                  <c:v>44.041243098661589</c:v>
                </c:pt>
                <c:pt idx="412">
                  <c:v>45.300224235270981</c:v>
                </c:pt>
                <c:pt idx="413">
                  <c:v>44.002440437907708</c:v>
                </c:pt>
                <c:pt idx="414">
                  <c:v>43.044320133436045</c:v>
                </c:pt>
                <c:pt idx="415">
                  <c:v>43.044320133436045</c:v>
                </c:pt>
                <c:pt idx="416">
                  <c:v>44.042612604335247</c:v>
                </c:pt>
                <c:pt idx="417">
                  <c:v>45.47061385219839</c:v>
                </c:pt>
                <c:pt idx="418">
                  <c:v>47.924300748273865</c:v>
                </c:pt>
                <c:pt idx="419">
                  <c:v>48.882421052745521</c:v>
                </c:pt>
                <c:pt idx="420">
                  <c:v>48.882421052745521</c:v>
                </c:pt>
                <c:pt idx="421">
                  <c:v>47.884128581846312</c:v>
                </c:pt>
                <c:pt idx="422">
                  <c:v>48.104455260612191</c:v>
                </c:pt>
                <c:pt idx="423">
                  <c:v>48.253646459690515</c:v>
                </c:pt>
                <c:pt idx="424">
                  <c:v>47.997376263594717</c:v>
                </c:pt>
                <c:pt idx="425">
                  <c:v>47.777049584828838</c:v>
                </c:pt>
                <c:pt idx="426">
                  <c:v>48.775342055728046</c:v>
                </c:pt>
                <c:pt idx="427">
                  <c:v>48.519071859632263</c:v>
                </c:pt>
                <c:pt idx="428">
                  <c:v>48.739398538398142</c:v>
                </c:pt>
                <c:pt idx="429">
                  <c:v>47.997376263594717</c:v>
                </c:pt>
                <c:pt idx="430">
                  <c:v>48.217702942360596</c:v>
                </c:pt>
                <c:pt idx="431">
                  <c:v>47.771258684814576</c:v>
                </c:pt>
                <c:pt idx="432">
                  <c:v>47.029236410011158</c:v>
                </c:pt>
                <c:pt idx="433">
                  <c:v>44.976752491242209</c:v>
                </c:pt>
                <c:pt idx="434">
                  <c:v>43.966620838809128</c:v>
                </c:pt>
                <c:pt idx="435">
                  <c:v>43.746294160043242</c:v>
                </c:pt>
                <c:pt idx="436">
                  <c:v>42.667317441032885</c:v>
                </c:pt>
                <c:pt idx="437">
                  <c:v>42.667317441032885</c:v>
                </c:pt>
                <c:pt idx="438">
                  <c:v>43.721508888902626</c:v>
                </c:pt>
                <c:pt idx="439">
                  <c:v>42.068288573130431</c:v>
                </c:pt>
                <c:pt idx="440">
                  <c:v>40.153495703656489</c:v>
                </c:pt>
                <c:pt idx="441">
                  <c:v>39.751843108984545</c:v>
                </c:pt>
                <c:pt idx="442">
                  <c:v>40.265750942933934</c:v>
                </c:pt>
                <c:pt idx="443">
                  <c:v>41.154548255221087</c:v>
                </c:pt>
                <c:pt idx="444">
                  <c:v>42.763708775556623</c:v>
                </c:pt>
                <c:pt idx="445">
                  <c:v>44.019073427725317</c:v>
                </c:pt>
                <c:pt idx="446">
                  <c:v>43.420783548274798</c:v>
                </c:pt>
                <c:pt idx="447">
                  <c:v>43.458723927678591</c:v>
                </c:pt>
                <c:pt idx="448">
                  <c:v>43.311948890194863</c:v>
                </c:pt>
                <c:pt idx="449">
                  <c:v>42.625332324362908</c:v>
                </c:pt>
                <c:pt idx="450">
                  <c:v>41.578013649205715</c:v>
                </c:pt>
                <c:pt idx="451">
                  <c:v>42.497732100084804</c:v>
                </c:pt>
                <c:pt idx="452">
                  <c:v>41.945883886731615</c:v>
                </c:pt>
                <c:pt idx="453">
                  <c:v>39.547157887545254</c:v>
                </c:pt>
                <c:pt idx="454">
                  <c:v>37.803395622336403</c:v>
                </c:pt>
                <c:pt idx="455">
                  <c:v>36.991368708963819</c:v>
                </c:pt>
                <c:pt idx="456">
                  <c:v>38.150569451217549</c:v>
                </c:pt>
                <c:pt idx="457">
                  <c:v>36.493865726834606</c:v>
                </c:pt>
                <c:pt idx="458">
                  <c:v>38.385731640567634</c:v>
                </c:pt>
                <c:pt idx="459">
                  <c:v>40.733474842137575</c:v>
                </c:pt>
                <c:pt idx="460">
                  <c:v>41.947154350182103</c:v>
                </c:pt>
                <c:pt idx="461">
                  <c:v>42.39359860772813</c:v>
                </c:pt>
                <c:pt idx="462">
                  <c:v>44.564210166060455</c:v>
                </c:pt>
                <c:pt idx="463">
                  <c:v>44.447585551538459</c:v>
                </c:pt>
                <c:pt idx="464">
                  <c:v>44.447585551538452</c:v>
                </c:pt>
                <c:pt idx="465">
                  <c:v>44.324678601465813</c:v>
                </c:pt>
                <c:pt idx="466">
                  <c:v>44.21518344285375</c:v>
                </c:pt>
                <c:pt idx="467">
                  <c:v>42.174204629124731</c:v>
                </c:pt>
                <c:pt idx="468">
                  <c:v>41.528538548639474</c:v>
                </c:pt>
                <c:pt idx="469">
                  <c:v>40.924557612278385</c:v>
                </c:pt>
                <c:pt idx="470">
                  <c:v>38.896222476710278</c:v>
                </c:pt>
                <c:pt idx="471">
                  <c:v>39.005717635322341</c:v>
                </c:pt>
                <c:pt idx="472">
                  <c:v>39.478597167232238</c:v>
                </c:pt>
                <c:pt idx="473">
                  <c:v>40.124263247717494</c:v>
                </c:pt>
                <c:pt idx="474">
                  <c:v>40.936290161090071</c:v>
                </c:pt>
                <c:pt idx="475">
                  <c:v>43.614660752387991</c:v>
                </c:pt>
                <c:pt idx="476">
                  <c:v>41.687587181159657</c:v>
                </c:pt>
                <c:pt idx="477">
                  <c:v>43.255686462978794</c:v>
                </c:pt>
                <c:pt idx="478">
                  <c:v>43.137148888150719</c:v>
                </c:pt>
                <c:pt idx="479">
                  <c:v>41.399574295656024</c:v>
                </c:pt>
                <c:pt idx="480">
                  <c:v>38.727211153595171</c:v>
                </c:pt>
                <c:pt idx="481">
                  <c:v>37.831079950903828</c:v>
                </c:pt>
                <c:pt idx="482">
                  <c:v>34.638801525656518</c:v>
                </c:pt>
                <c:pt idx="483">
                  <c:v>34.7573391004846</c:v>
                </c:pt>
                <c:pt idx="484">
                  <c:v>38.05246938636342</c:v>
                </c:pt>
                <c:pt idx="485">
                  <c:v>39.068128804041336</c:v>
                </c:pt>
                <c:pt idx="486">
                  <c:v>38.226685414237984</c:v>
                </c:pt>
                <c:pt idx="487">
                  <c:v>41.140218194885982</c:v>
                </c:pt>
                <c:pt idx="488">
                  <c:v>41.650455213112913</c:v>
                </c:pt>
                <c:pt idx="489">
                  <c:v>39.364976895674957</c:v>
                </c:pt>
                <c:pt idx="490">
                  <c:v>39.41207529769347</c:v>
                </c:pt>
                <c:pt idx="491">
                  <c:v>43.076723461416478</c:v>
                </c:pt>
                <c:pt idx="492">
                  <c:v>43.038783082012685</c:v>
                </c:pt>
                <c:pt idx="493">
                  <c:v>39.564991255823891</c:v>
                </c:pt>
                <c:pt idx="494">
                  <c:v>39.564991255823891</c:v>
                </c:pt>
                <c:pt idx="495">
                  <c:v>39.349684275167874</c:v>
                </c:pt>
                <c:pt idx="496">
                  <c:v>34.7767097868023</c:v>
                </c:pt>
                <c:pt idx="497">
                  <c:v>34.698025551684083</c:v>
                </c:pt>
                <c:pt idx="498">
                  <c:v>36.893007329088064</c:v>
                </c:pt>
                <c:pt idx="499">
                  <c:v>37.066938003123866</c:v>
                </c:pt>
                <c:pt idx="500">
                  <c:v>37.637170090912726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A4-47F5-A420-F8FB7992E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레벨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5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난이도 점수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구간별 평균 난이도 </a:t>
            </a:r>
            <a:r>
              <a:rPr lang="en-US" altLang="ko-KR"/>
              <a:t>(10</a:t>
            </a:r>
            <a:r>
              <a:rPr lang="ko-KR" altLang="en-US"/>
              <a:t>레벨 단위</a:t>
            </a:r>
            <a:r>
              <a:rPr lang="en-US" altLang="ko-KR"/>
              <a:t>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'#난이도_곡선'!$C$23</c:f>
              <c:strCache>
                <c:ptCount val="1"/>
                <c:pt idx="0">
                  <c:v>평균 난이도</c:v>
                </c:pt>
              </c:strCache>
            </c:strRef>
          </c:tx>
          <c:spPr>
            <a:solidFill>
              <a:srgbClr val="378ADD"/>
            </a:solidFill>
            <a:ln>
              <a:prstDash val="solid"/>
            </a:ln>
          </c:spPr>
          <c:invertIfNegative val="1"/>
          <c:cat>
            <c:strRef>
              <c:f>'#난이도_곡선'!$B$24:$B$73</c:f>
              <c:strCache>
                <c:ptCount val="50"/>
                <c:pt idx="0">
                  <c:v>Lv   1-10</c:v>
                </c:pt>
                <c:pt idx="1">
                  <c:v>Lv  11-20</c:v>
                </c:pt>
                <c:pt idx="2">
                  <c:v>Lv  21-30</c:v>
                </c:pt>
                <c:pt idx="3">
                  <c:v>Lv  31-40</c:v>
                </c:pt>
                <c:pt idx="4">
                  <c:v>Lv  41-50</c:v>
                </c:pt>
                <c:pt idx="5">
                  <c:v>Lv  51-60</c:v>
                </c:pt>
                <c:pt idx="6">
                  <c:v>Lv  61-70</c:v>
                </c:pt>
                <c:pt idx="7">
                  <c:v>Lv  71-80</c:v>
                </c:pt>
                <c:pt idx="8">
                  <c:v>Lv  81-90</c:v>
                </c:pt>
                <c:pt idx="9">
                  <c:v>Lv  91-100</c:v>
                </c:pt>
                <c:pt idx="10">
                  <c:v>Lv 101-110</c:v>
                </c:pt>
                <c:pt idx="11">
                  <c:v>Lv 111-120</c:v>
                </c:pt>
                <c:pt idx="12">
                  <c:v>Lv 121-130</c:v>
                </c:pt>
                <c:pt idx="13">
                  <c:v>Lv 131-140</c:v>
                </c:pt>
                <c:pt idx="14">
                  <c:v>Lv 141-150</c:v>
                </c:pt>
                <c:pt idx="15">
                  <c:v>Lv 151-160</c:v>
                </c:pt>
                <c:pt idx="16">
                  <c:v>Lv 161-170</c:v>
                </c:pt>
                <c:pt idx="17">
                  <c:v>Lv 171-180</c:v>
                </c:pt>
                <c:pt idx="18">
                  <c:v>Lv 181-190</c:v>
                </c:pt>
                <c:pt idx="19">
                  <c:v>Lv 191-200</c:v>
                </c:pt>
                <c:pt idx="20">
                  <c:v>Lv 201-210</c:v>
                </c:pt>
                <c:pt idx="21">
                  <c:v>Lv 211-220</c:v>
                </c:pt>
                <c:pt idx="22">
                  <c:v>Lv 221-230</c:v>
                </c:pt>
                <c:pt idx="23">
                  <c:v>Lv 231-240</c:v>
                </c:pt>
                <c:pt idx="24">
                  <c:v>Lv 241-250</c:v>
                </c:pt>
                <c:pt idx="25">
                  <c:v>Lv 251-260</c:v>
                </c:pt>
                <c:pt idx="26">
                  <c:v>Lv 261-270</c:v>
                </c:pt>
                <c:pt idx="27">
                  <c:v>Lv 271-280</c:v>
                </c:pt>
                <c:pt idx="28">
                  <c:v>Lv 281-290</c:v>
                </c:pt>
                <c:pt idx="29">
                  <c:v>Lv 291-300</c:v>
                </c:pt>
                <c:pt idx="30">
                  <c:v>Lv 301-310</c:v>
                </c:pt>
                <c:pt idx="31">
                  <c:v>Lv 311-320</c:v>
                </c:pt>
                <c:pt idx="32">
                  <c:v>Lv 321-330</c:v>
                </c:pt>
                <c:pt idx="33">
                  <c:v>Lv 331-340</c:v>
                </c:pt>
                <c:pt idx="34">
                  <c:v>Lv 341-350</c:v>
                </c:pt>
                <c:pt idx="35">
                  <c:v>Lv 351-360</c:v>
                </c:pt>
                <c:pt idx="36">
                  <c:v>Lv 361-370</c:v>
                </c:pt>
                <c:pt idx="37">
                  <c:v>Lv 371-380</c:v>
                </c:pt>
                <c:pt idx="38">
                  <c:v>Lv 381-390</c:v>
                </c:pt>
                <c:pt idx="39">
                  <c:v>Lv 391-400</c:v>
                </c:pt>
                <c:pt idx="40">
                  <c:v>Lv 401-410</c:v>
                </c:pt>
                <c:pt idx="41">
                  <c:v>Lv 411-420</c:v>
                </c:pt>
                <c:pt idx="42">
                  <c:v>Lv 421-430</c:v>
                </c:pt>
                <c:pt idx="43">
                  <c:v>Lv 431-440</c:v>
                </c:pt>
                <c:pt idx="44">
                  <c:v>Lv 441-450</c:v>
                </c:pt>
                <c:pt idx="45">
                  <c:v>Lv 451-460</c:v>
                </c:pt>
                <c:pt idx="46">
                  <c:v>Lv 461-470</c:v>
                </c:pt>
                <c:pt idx="47">
                  <c:v>Lv 471-480</c:v>
                </c:pt>
                <c:pt idx="48">
                  <c:v>Lv 481-490</c:v>
                </c:pt>
                <c:pt idx="49">
                  <c:v>Lv 491-500</c:v>
                </c:pt>
              </c:strCache>
            </c:strRef>
          </c:cat>
          <c:val>
            <c:numRef>
              <c:f>'#난이도_곡선'!$C$24:$C$73</c:f>
              <c:numCache>
                <c:formatCode>0.0</c:formatCode>
                <c:ptCount val="50"/>
                <c:pt idx="0">
                  <c:v>23.864251672073372</c:v>
                </c:pt>
                <c:pt idx="1">
                  <c:v>32.070787776843282</c:v>
                </c:pt>
                <c:pt idx="2">
                  <c:v>39.33605671032079</c:v>
                </c:pt>
                <c:pt idx="3">
                  <c:v>31.863971324442311</c:v>
                </c:pt>
                <c:pt idx="4">
                  <c:v>31.448355961392128</c:v>
                </c:pt>
                <c:pt idx="5">
                  <c:v>29.58895029836998</c:v>
                </c:pt>
                <c:pt idx="6">
                  <c:v>34.767914567004269</c:v>
                </c:pt>
                <c:pt idx="7">
                  <c:v>34.029530996814422</c:v>
                </c:pt>
                <c:pt idx="8">
                  <c:v>31.06284893267652</c:v>
                </c:pt>
                <c:pt idx="9">
                  <c:v>32.387528535383879</c:v>
                </c:pt>
                <c:pt idx="10">
                  <c:v>34.776052304858027</c:v>
                </c:pt>
                <c:pt idx="11">
                  <c:v>42.515046478487669</c:v>
                </c:pt>
                <c:pt idx="12">
                  <c:v>46.381939767473824</c:v>
                </c:pt>
                <c:pt idx="13">
                  <c:v>40.255191709066494</c:v>
                </c:pt>
                <c:pt idx="14">
                  <c:v>39.196075313376056</c:v>
                </c:pt>
                <c:pt idx="15">
                  <c:v>34.655671267666023</c:v>
                </c:pt>
                <c:pt idx="16">
                  <c:v>39.994605078380502</c:v>
                </c:pt>
                <c:pt idx="17">
                  <c:v>38.906804592775259</c:v>
                </c:pt>
                <c:pt idx="18">
                  <c:v>36.68934676860269</c:v>
                </c:pt>
                <c:pt idx="19">
                  <c:v>35.941667646491268</c:v>
                </c:pt>
                <c:pt idx="20">
                  <c:v>38.48240361537249</c:v>
                </c:pt>
                <c:pt idx="21">
                  <c:v>44.459432338720553</c:v>
                </c:pt>
                <c:pt idx="22">
                  <c:v>48.029019467831382</c:v>
                </c:pt>
                <c:pt idx="23">
                  <c:v>42.745603134291102</c:v>
                </c:pt>
                <c:pt idx="24">
                  <c:v>41.088512791277857</c:v>
                </c:pt>
                <c:pt idx="25">
                  <c:v>37.851529168896704</c:v>
                </c:pt>
                <c:pt idx="26">
                  <c:v>41.851017625305964</c:v>
                </c:pt>
                <c:pt idx="27">
                  <c:v>40.967849979757197</c:v>
                </c:pt>
                <c:pt idx="28">
                  <c:v>37.907231835520562</c:v>
                </c:pt>
                <c:pt idx="29">
                  <c:v>37.889244530390357</c:v>
                </c:pt>
                <c:pt idx="30">
                  <c:v>39.946903782145611</c:v>
                </c:pt>
                <c:pt idx="31">
                  <c:v>45.761859542917975</c:v>
                </c:pt>
                <c:pt idx="32">
                  <c:v>48.496522499044332</c:v>
                </c:pt>
                <c:pt idx="33">
                  <c:v>44.169534403370712</c:v>
                </c:pt>
                <c:pt idx="34">
                  <c:v>42.094118933216571</c:v>
                </c:pt>
                <c:pt idx="35">
                  <c:v>38.84577696394129</c:v>
                </c:pt>
                <c:pt idx="36">
                  <c:v>42.767310044875231</c:v>
                </c:pt>
                <c:pt idx="37">
                  <c:v>41.550848087681857</c:v>
                </c:pt>
                <c:pt idx="38">
                  <c:v>38.184926967096864</c:v>
                </c:pt>
                <c:pt idx="39">
                  <c:v>38.091128332465587</c:v>
                </c:pt>
                <c:pt idx="40">
                  <c:v>40.746018157655449</c:v>
                </c:pt>
                <c:pt idx="41">
                  <c:v>45.963370593090772</c:v>
                </c:pt>
                <c:pt idx="42">
                  <c:v>48.496522499044332</c:v>
                </c:pt>
                <c:pt idx="43">
                  <c:v>44.349130690072414</c:v>
                </c:pt>
                <c:pt idx="44">
                  <c:v>42.233248572707971</c:v>
                </c:pt>
                <c:pt idx="45">
                  <c:v>38.966444764056448</c:v>
                </c:pt>
                <c:pt idx="46">
                  <c:v>42.988062050088963</c:v>
                </c:pt>
                <c:pt idx="47">
                  <c:v>41.630706067934106</c:v>
                </c:pt>
                <c:pt idx="48">
                  <c:v>38.20389715679876</c:v>
                </c:pt>
                <c:pt idx="49">
                  <c:v>38.228999292455974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ED-4F71-BF9D-FC6B05845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레벨 구간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평균 난이도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</xdr:row>
      <xdr:rowOff>0</xdr:rowOff>
    </xdr:from>
    <xdr:ext cx="7143750" cy="3162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142875</xdr:colOff>
      <xdr:row>29</xdr:row>
      <xdr:rowOff>9525</xdr:rowOff>
    </xdr:from>
    <xdr:ext cx="504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Z539"/>
  <sheetViews>
    <sheetView tabSelected="1" topLeftCell="A27" zoomScale="130" zoomScaleNormal="130" workbookViewId="0">
      <selection activeCell="C40" sqref="C40"/>
    </sheetView>
  </sheetViews>
  <sheetFormatPr defaultColWidth="8.875" defaultRowHeight="16.5" x14ac:dyDescent="0.3"/>
  <cols>
    <col min="1" max="1" width="10.375" style="4" customWidth="1"/>
    <col min="2" max="2" width="15" style="3" customWidth="1"/>
    <col min="3" max="3" width="15.125" style="3" bestFit="1" customWidth="1"/>
    <col min="4" max="4" width="19.25" style="98" bestFit="1" customWidth="1"/>
    <col min="5" max="5" width="17.25" style="53" bestFit="1" customWidth="1"/>
    <col min="6" max="6" width="23.375" style="83" customWidth="1"/>
    <col min="7" max="7" width="29.875" style="3" customWidth="1"/>
    <col min="8" max="8" width="22.5" style="7" bestFit="1" customWidth="1"/>
    <col min="9" max="9" width="33.625" style="7" customWidth="1"/>
    <col min="10" max="10" width="29.125" style="3" customWidth="1"/>
    <col min="11" max="11" width="33.875" style="3" customWidth="1"/>
    <col min="12" max="12" width="19.875" style="4" bestFit="1" customWidth="1"/>
    <col min="13" max="13" width="15.125" style="98" bestFit="1" customWidth="1"/>
    <col min="14" max="14" width="13.125" style="98" bestFit="1" customWidth="1"/>
    <col min="15" max="15" width="15.5" style="98" bestFit="1" customWidth="1"/>
    <col min="16" max="16" width="16.125" style="98" bestFit="1" customWidth="1"/>
    <col min="17" max="17" width="24" style="101" bestFit="1" customWidth="1"/>
    <col min="18" max="18" width="24.25" style="83" customWidth="1"/>
    <col min="19" max="21" width="20.375" style="3" customWidth="1"/>
    <col min="22" max="22" width="20.125" style="58" customWidth="1"/>
    <col min="23" max="23" width="8.875" style="3" customWidth="1"/>
    <col min="24" max="16384" width="8.875" style="3"/>
  </cols>
  <sheetData>
    <row r="1" spans="1:962" x14ac:dyDescent="0.3">
      <c r="A1" s="25" t="s">
        <v>0</v>
      </c>
      <c r="B1" s="26" t="s">
        <v>1</v>
      </c>
      <c r="C1" s="26" t="s">
        <v>2</v>
      </c>
      <c r="D1" s="27" t="s">
        <v>3</v>
      </c>
      <c r="E1" s="49" t="s">
        <v>4</v>
      </c>
      <c r="F1" s="80" t="s">
        <v>5</v>
      </c>
      <c r="G1" s="28" t="s">
        <v>6</v>
      </c>
      <c r="H1" s="29" t="s">
        <v>7</v>
      </c>
      <c r="I1" s="30" t="s">
        <v>8</v>
      </c>
      <c r="J1" s="26" t="s">
        <v>9</v>
      </c>
      <c r="K1" s="28" t="s">
        <v>10</v>
      </c>
      <c r="L1" s="31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32" t="s">
        <v>16</v>
      </c>
      <c r="R1" s="80" t="s">
        <v>17</v>
      </c>
      <c r="S1" s="28" t="s">
        <v>18</v>
      </c>
      <c r="T1" s="28" t="s">
        <v>19</v>
      </c>
      <c r="U1" s="28" t="s">
        <v>20</v>
      </c>
      <c r="V1" s="56" t="s">
        <v>21</v>
      </c>
      <c r="W1" s="15"/>
    </row>
    <row r="2" spans="1:962" x14ac:dyDescent="0.3">
      <c r="A2" s="33" t="s">
        <v>22</v>
      </c>
      <c r="B2" s="6" t="s">
        <v>23</v>
      </c>
      <c r="C2" s="6" t="s">
        <v>24</v>
      </c>
      <c r="D2" s="6" t="s">
        <v>25</v>
      </c>
      <c r="E2" s="50" t="s">
        <v>26</v>
      </c>
      <c r="F2" s="33" t="s">
        <v>27</v>
      </c>
      <c r="G2" s="6" t="s">
        <v>28</v>
      </c>
      <c r="H2" s="6" t="s">
        <v>29</v>
      </c>
      <c r="I2" s="6" t="s">
        <v>30</v>
      </c>
      <c r="J2" s="6" t="s">
        <v>31</v>
      </c>
      <c r="K2" s="6" t="s">
        <v>32</v>
      </c>
      <c r="L2" s="6" t="s">
        <v>33</v>
      </c>
      <c r="M2" s="6" t="s">
        <v>34</v>
      </c>
      <c r="N2" s="6" t="s">
        <v>35</v>
      </c>
      <c r="O2" s="6" t="s">
        <v>36</v>
      </c>
      <c r="P2" s="6" t="s">
        <v>37</v>
      </c>
      <c r="Q2" s="34" t="s">
        <v>38</v>
      </c>
      <c r="R2" s="33" t="s">
        <v>39</v>
      </c>
      <c r="S2" s="6" t="s">
        <v>40</v>
      </c>
      <c r="T2" s="6" t="s">
        <v>41</v>
      </c>
      <c r="U2" s="6" t="s">
        <v>42</v>
      </c>
      <c r="V2" s="34" t="s">
        <v>43</v>
      </c>
      <c r="W2" s="15"/>
    </row>
    <row r="3" spans="1:962" s="13" customFormat="1" ht="17.25" customHeight="1" thickBot="1" x14ac:dyDescent="0.35">
      <c r="A3" s="35">
        <v>101</v>
      </c>
      <c r="B3" s="17" t="s">
        <v>44</v>
      </c>
      <c r="C3" s="16" t="s">
        <v>45</v>
      </c>
      <c r="D3" s="18">
        <v>3</v>
      </c>
      <c r="E3" s="51" t="b">
        <v>0</v>
      </c>
      <c r="F3" s="35">
        <v>1000</v>
      </c>
      <c r="G3" s="16" t="s">
        <v>46</v>
      </c>
      <c r="H3" s="19" t="s">
        <v>47</v>
      </c>
      <c r="I3" s="19" t="s">
        <v>48</v>
      </c>
      <c r="J3" s="16" t="s">
        <v>49</v>
      </c>
      <c r="K3" s="16" t="s">
        <v>50</v>
      </c>
      <c r="L3" s="16"/>
      <c r="M3" s="18">
        <v>0</v>
      </c>
      <c r="N3" s="18">
        <v>0</v>
      </c>
      <c r="O3" s="18">
        <v>0</v>
      </c>
      <c r="P3" s="18">
        <v>0</v>
      </c>
      <c r="Q3" s="36">
        <v>0</v>
      </c>
      <c r="R3" s="69">
        <v>0</v>
      </c>
      <c r="S3" s="12">
        <v>0</v>
      </c>
      <c r="T3" s="12">
        <v>0</v>
      </c>
      <c r="U3" s="12">
        <v>0</v>
      </c>
      <c r="V3" s="57">
        <v>0</v>
      </c>
      <c r="W3" s="15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  <c r="KK3" s="3"/>
      <c r="KL3" s="3"/>
      <c r="KM3" s="3"/>
      <c r="KN3" s="3"/>
      <c r="KO3" s="3"/>
      <c r="KP3" s="3"/>
      <c r="KQ3" s="3"/>
      <c r="KR3" s="3"/>
      <c r="KS3" s="3"/>
      <c r="KT3" s="3"/>
      <c r="KU3" s="3"/>
      <c r="KV3" s="3"/>
      <c r="KW3" s="3"/>
      <c r="KX3" s="3"/>
      <c r="KY3" s="3"/>
      <c r="KZ3" s="3"/>
      <c r="LA3" s="3"/>
      <c r="LB3" s="3"/>
      <c r="LC3" s="3"/>
      <c r="LD3" s="3"/>
      <c r="LE3" s="3"/>
      <c r="LF3" s="3"/>
      <c r="LG3" s="3"/>
      <c r="LH3" s="3"/>
      <c r="LI3" s="3"/>
      <c r="LJ3" s="3"/>
      <c r="LK3" s="3"/>
      <c r="LL3" s="3"/>
      <c r="LM3" s="3"/>
      <c r="LN3" s="3"/>
      <c r="LO3" s="3"/>
      <c r="LP3" s="3"/>
      <c r="LQ3" s="3"/>
      <c r="LR3" s="3"/>
      <c r="LS3" s="3"/>
      <c r="LT3" s="3"/>
      <c r="LU3" s="3"/>
      <c r="LV3" s="3"/>
      <c r="LW3" s="3"/>
      <c r="LX3" s="3"/>
      <c r="LY3" s="3"/>
      <c r="LZ3" s="3"/>
      <c r="MA3" s="3"/>
      <c r="MB3" s="3"/>
      <c r="MC3" s="3"/>
      <c r="MD3" s="3"/>
      <c r="ME3" s="3"/>
      <c r="MF3" s="3"/>
      <c r="MG3" s="3"/>
      <c r="MH3" s="3"/>
      <c r="MI3" s="3"/>
      <c r="MJ3" s="3"/>
      <c r="MK3" s="3"/>
      <c r="ML3" s="3"/>
      <c r="MM3" s="3"/>
      <c r="MN3" s="3"/>
      <c r="MO3" s="3"/>
      <c r="MP3" s="3"/>
      <c r="MQ3" s="3"/>
      <c r="MR3" s="3"/>
      <c r="MS3" s="3"/>
      <c r="MT3" s="3"/>
      <c r="MU3" s="3"/>
      <c r="MV3" s="3"/>
      <c r="MW3" s="3"/>
      <c r="MX3" s="3"/>
      <c r="MY3" s="3"/>
      <c r="MZ3" s="3"/>
      <c r="NA3" s="3"/>
      <c r="NB3" s="3"/>
      <c r="NC3" s="3"/>
      <c r="ND3" s="3"/>
      <c r="NE3" s="3"/>
      <c r="NF3" s="3"/>
      <c r="NG3" s="3"/>
      <c r="NH3" s="3"/>
      <c r="NI3" s="3"/>
      <c r="NJ3" s="3"/>
      <c r="NK3" s="3"/>
      <c r="NL3" s="3"/>
      <c r="NM3" s="3"/>
      <c r="NN3" s="3"/>
      <c r="NO3" s="3"/>
      <c r="NP3" s="3"/>
      <c r="NQ3" s="3"/>
      <c r="NR3" s="3"/>
      <c r="NS3" s="3"/>
      <c r="NT3" s="3"/>
      <c r="NU3" s="3"/>
      <c r="NV3" s="3"/>
      <c r="NW3" s="3"/>
      <c r="NX3" s="3"/>
      <c r="NY3" s="3"/>
      <c r="NZ3" s="3"/>
      <c r="OA3" s="3"/>
      <c r="OB3" s="3"/>
      <c r="OC3" s="3"/>
      <c r="OD3" s="3"/>
      <c r="OE3" s="3"/>
      <c r="OF3" s="3"/>
      <c r="OG3" s="3"/>
      <c r="OH3" s="3"/>
      <c r="OI3" s="3"/>
      <c r="OJ3" s="3"/>
      <c r="OK3" s="3"/>
      <c r="OL3" s="3"/>
      <c r="OM3" s="3"/>
      <c r="ON3" s="3"/>
      <c r="OO3" s="3"/>
      <c r="OP3" s="3"/>
      <c r="OQ3" s="3"/>
      <c r="OR3" s="3"/>
      <c r="OS3" s="3"/>
      <c r="OT3" s="3"/>
      <c r="OU3" s="3"/>
      <c r="OV3" s="3"/>
      <c r="OW3" s="3"/>
      <c r="OX3" s="3"/>
      <c r="OY3" s="3"/>
      <c r="OZ3" s="3"/>
      <c r="PA3" s="3"/>
      <c r="PB3" s="3"/>
      <c r="PC3" s="3"/>
      <c r="PD3" s="3"/>
      <c r="PE3" s="3"/>
      <c r="PF3" s="3"/>
      <c r="PG3" s="3"/>
      <c r="PH3" s="3"/>
      <c r="PI3" s="3"/>
      <c r="PJ3" s="3"/>
      <c r="PK3" s="3"/>
      <c r="PL3" s="3"/>
      <c r="PM3" s="3"/>
      <c r="PN3" s="3"/>
      <c r="PO3" s="3"/>
      <c r="PP3" s="3"/>
      <c r="PQ3" s="3"/>
      <c r="PR3" s="3"/>
      <c r="PS3" s="3"/>
      <c r="PT3" s="3"/>
      <c r="PU3" s="3"/>
      <c r="PV3" s="3"/>
      <c r="PW3" s="3"/>
      <c r="PX3" s="3"/>
      <c r="PY3" s="3"/>
      <c r="PZ3" s="3"/>
      <c r="QA3" s="3"/>
      <c r="QB3" s="3"/>
      <c r="QC3" s="3"/>
      <c r="QD3" s="3"/>
      <c r="QE3" s="3"/>
      <c r="QF3" s="3"/>
      <c r="QG3" s="3"/>
      <c r="QH3" s="3"/>
      <c r="QI3" s="3"/>
      <c r="QJ3" s="3"/>
      <c r="QK3" s="3"/>
      <c r="QL3" s="3"/>
      <c r="QM3" s="3"/>
      <c r="QN3" s="3"/>
      <c r="QO3" s="3"/>
      <c r="QP3" s="3"/>
      <c r="QQ3" s="3"/>
      <c r="QR3" s="3"/>
      <c r="QS3" s="3"/>
      <c r="QT3" s="3"/>
      <c r="QU3" s="3"/>
      <c r="QV3" s="3"/>
      <c r="QW3" s="3"/>
      <c r="QX3" s="3"/>
      <c r="QY3" s="3"/>
      <c r="QZ3" s="3"/>
      <c r="RA3" s="3"/>
      <c r="RB3" s="3"/>
      <c r="RC3" s="3"/>
      <c r="RD3" s="3"/>
      <c r="RE3" s="3"/>
      <c r="RF3" s="3"/>
      <c r="RG3" s="3"/>
      <c r="RH3" s="3"/>
      <c r="RI3" s="3"/>
      <c r="RJ3" s="3"/>
      <c r="RK3" s="3"/>
      <c r="RL3" s="3"/>
      <c r="RM3" s="3"/>
      <c r="RN3" s="3"/>
      <c r="RO3" s="3"/>
      <c r="RP3" s="3"/>
      <c r="RQ3" s="3"/>
      <c r="RR3" s="3"/>
      <c r="RS3" s="3"/>
      <c r="RT3" s="3"/>
      <c r="RU3" s="3"/>
      <c r="RV3" s="3"/>
      <c r="RW3" s="3"/>
      <c r="RX3" s="3"/>
      <c r="RY3" s="3"/>
      <c r="RZ3" s="3"/>
      <c r="SA3" s="3"/>
      <c r="SB3" s="3"/>
      <c r="SC3" s="3"/>
      <c r="SD3" s="3"/>
      <c r="SE3" s="3"/>
      <c r="SF3" s="3"/>
      <c r="SG3" s="3"/>
      <c r="SH3" s="3"/>
      <c r="SI3" s="3"/>
      <c r="SJ3" s="3"/>
      <c r="SK3" s="3"/>
      <c r="SL3" s="3"/>
      <c r="SM3" s="3"/>
      <c r="SN3" s="3"/>
      <c r="SO3" s="3"/>
      <c r="SP3" s="3"/>
      <c r="SQ3" s="3"/>
      <c r="SR3" s="3"/>
      <c r="SS3" s="3"/>
      <c r="ST3" s="3"/>
      <c r="SU3" s="3"/>
      <c r="SV3" s="3"/>
      <c r="SW3" s="3"/>
      <c r="SX3" s="3"/>
      <c r="SY3" s="3"/>
      <c r="SZ3" s="3"/>
      <c r="TA3" s="3"/>
      <c r="TB3" s="3"/>
      <c r="TC3" s="3"/>
      <c r="TD3" s="3"/>
      <c r="TE3" s="3"/>
      <c r="TF3" s="3"/>
      <c r="TG3" s="3"/>
      <c r="TH3" s="3"/>
      <c r="TI3" s="3"/>
      <c r="TJ3" s="3"/>
      <c r="TK3" s="3"/>
      <c r="TL3" s="3"/>
      <c r="TM3" s="3"/>
      <c r="TN3" s="3"/>
      <c r="TO3" s="3"/>
      <c r="TP3" s="3"/>
      <c r="TQ3" s="3"/>
      <c r="TR3" s="3"/>
      <c r="TS3" s="3"/>
      <c r="TT3" s="3"/>
      <c r="TU3" s="3"/>
      <c r="TV3" s="3"/>
      <c r="TW3" s="3"/>
      <c r="TX3" s="3"/>
      <c r="TY3" s="3"/>
      <c r="TZ3" s="3"/>
      <c r="UA3" s="3"/>
      <c r="UB3" s="3"/>
      <c r="UC3" s="3"/>
      <c r="UD3" s="3"/>
      <c r="UE3" s="3"/>
      <c r="UF3" s="3"/>
      <c r="UG3" s="3"/>
      <c r="UH3" s="3"/>
      <c r="UI3" s="3"/>
      <c r="UJ3" s="3"/>
      <c r="UK3" s="3"/>
      <c r="UL3" s="3"/>
      <c r="UM3" s="3"/>
      <c r="UN3" s="3"/>
      <c r="UO3" s="3"/>
      <c r="UP3" s="3"/>
      <c r="UQ3" s="3"/>
      <c r="UR3" s="3"/>
      <c r="US3" s="3"/>
      <c r="UT3" s="3"/>
      <c r="UU3" s="3"/>
      <c r="UV3" s="3"/>
      <c r="UW3" s="3"/>
      <c r="UX3" s="3"/>
      <c r="UY3" s="3"/>
      <c r="UZ3" s="3"/>
      <c r="VA3" s="3"/>
      <c r="VB3" s="3"/>
      <c r="VC3" s="3"/>
      <c r="VD3" s="3"/>
      <c r="VE3" s="3"/>
      <c r="VF3" s="3"/>
      <c r="VG3" s="3"/>
      <c r="VH3" s="3"/>
      <c r="VI3" s="3"/>
      <c r="VJ3" s="3"/>
      <c r="VK3" s="3"/>
      <c r="VL3" s="3"/>
      <c r="VM3" s="3"/>
      <c r="VN3" s="3"/>
      <c r="VO3" s="3"/>
      <c r="VP3" s="3"/>
      <c r="VQ3" s="3"/>
      <c r="VR3" s="3"/>
      <c r="VS3" s="3"/>
      <c r="VT3" s="3"/>
      <c r="VU3" s="3"/>
      <c r="VV3" s="3"/>
      <c r="VW3" s="3"/>
      <c r="VX3" s="3"/>
      <c r="VY3" s="3"/>
      <c r="VZ3" s="3"/>
      <c r="WA3" s="3"/>
      <c r="WB3" s="3"/>
      <c r="WC3" s="3"/>
      <c r="WD3" s="3"/>
      <c r="WE3" s="3"/>
      <c r="WF3" s="3"/>
      <c r="WG3" s="3"/>
      <c r="WH3" s="3"/>
      <c r="WI3" s="3"/>
      <c r="WJ3" s="3"/>
      <c r="WK3" s="3"/>
      <c r="WL3" s="3"/>
      <c r="WM3" s="3"/>
      <c r="WN3" s="3"/>
      <c r="WO3" s="3"/>
      <c r="WP3" s="3"/>
      <c r="WQ3" s="3"/>
      <c r="WR3" s="3"/>
      <c r="WS3" s="3"/>
      <c r="WT3" s="3"/>
      <c r="WU3" s="3"/>
      <c r="WV3" s="3"/>
      <c r="WW3" s="3"/>
      <c r="WX3" s="3"/>
      <c r="WY3" s="3"/>
      <c r="WZ3" s="3"/>
      <c r="XA3" s="3"/>
      <c r="XB3" s="3"/>
      <c r="XC3" s="3"/>
      <c r="XD3" s="3"/>
      <c r="XE3" s="3"/>
      <c r="XF3" s="3"/>
      <c r="XG3" s="3"/>
      <c r="XH3" s="3"/>
      <c r="XI3" s="3"/>
      <c r="XJ3" s="3"/>
      <c r="XK3" s="3"/>
      <c r="XL3" s="3"/>
      <c r="XM3" s="3"/>
      <c r="XN3" s="3"/>
      <c r="XO3" s="3"/>
      <c r="XP3" s="3"/>
      <c r="XQ3" s="3"/>
      <c r="XR3" s="3"/>
      <c r="XS3" s="3"/>
      <c r="XT3" s="3"/>
      <c r="XU3" s="3"/>
      <c r="XV3" s="3"/>
      <c r="XW3" s="3"/>
      <c r="XX3" s="3"/>
      <c r="XY3" s="3"/>
      <c r="XZ3" s="3"/>
      <c r="YA3" s="3"/>
      <c r="YB3" s="3"/>
      <c r="YC3" s="3"/>
      <c r="YD3" s="3"/>
      <c r="YE3" s="3"/>
      <c r="YF3" s="3"/>
      <c r="YG3" s="3"/>
      <c r="YH3" s="3"/>
      <c r="YI3" s="3"/>
      <c r="YJ3" s="3"/>
      <c r="YK3" s="3"/>
      <c r="YL3" s="3"/>
      <c r="YM3" s="3"/>
      <c r="YN3" s="3"/>
      <c r="YO3" s="3"/>
      <c r="YP3" s="3"/>
      <c r="YQ3" s="3"/>
      <c r="YR3" s="3"/>
      <c r="YS3" s="3"/>
      <c r="YT3" s="3"/>
      <c r="YU3" s="3"/>
      <c r="YV3" s="3"/>
      <c r="YW3" s="3"/>
      <c r="YX3" s="3"/>
      <c r="YY3" s="3"/>
      <c r="YZ3" s="3"/>
      <c r="ZA3" s="3"/>
      <c r="ZB3" s="3"/>
      <c r="ZC3" s="3"/>
      <c r="ZD3" s="3"/>
      <c r="ZE3" s="3"/>
      <c r="ZF3" s="3"/>
      <c r="ZG3" s="3"/>
      <c r="ZH3" s="3"/>
      <c r="ZI3" s="3"/>
      <c r="ZJ3" s="3"/>
      <c r="ZK3" s="3"/>
      <c r="ZL3" s="3"/>
      <c r="ZM3" s="3"/>
      <c r="ZN3" s="3"/>
      <c r="ZO3" s="3"/>
      <c r="ZP3" s="3"/>
      <c r="ZQ3" s="3"/>
      <c r="ZR3" s="3"/>
      <c r="ZS3" s="3"/>
      <c r="ZT3" s="3"/>
      <c r="ZU3" s="3"/>
      <c r="ZV3" s="3"/>
      <c r="ZW3" s="3"/>
      <c r="ZX3" s="3"/>
      <c r="ZY3" s="3"/>
      <c r="ZZ3" s="3"/>
      <c r="AAA3" s="3"/>
      <c r="AAB3" s="3"/>
      <c r="AAC3" s="3"/>
      <c r="AAD3" s="3"/>
      <c r="AAE3" s="3"/>
      <c r="AAF3" s="3"/>
      <c r="AAG3" s="3"/>
      <c r="AAH3" s="3"/>
      <c r="AAI3" s="3"/>
      <c r="AAJ3" s="3"/>
      <c r="AAK3" s="3"/>
      <c r="AAL3" s="3"/>
      <c r="AAM3" s="3"/>
      <c r="AAN3" s="3"/>
      <c r="AAO3" s="3"/>
      <c r="AAP3" s="3"/>
      <c r="AAQ3" s="3"/>
      <c r="AAR3" s="3"/>
      <c r="AAS3" s="3"/>
      <c r="AAT3" s="3"/>
      <c r="AAU3" s="3"/>
      <c r="AAV3" s="3"/>
      <c r="AAW3" s="3"/>
      <c r="AAX3" s="3"/>
      <c r="AAY3" s="3"/>
      <c r="AAZ3" s="3"/>
      <c r="ABA3" s="3"/>
      <c r="ABB3" s="3"/>
      <c r="ABC3" s="3"/>
      <c r="ABD3" s="3"/>
      <c r="ABE3" s="3"/>
      <c r="ABF3" s="3"/>
      <c r="ABG3" s="3"/>
      <c r="ABH3" s="3"/>
      <c r="ABI3" s="3"/>
      <c r="ABJ3" s="3"/>
      <c r="ABK3" s="3"/>
      <c r="ABL3" s="3"/>
      <c r="ABM3" s="3"/>
      <c r="ABN3" s="3"/>
      <c r="ABO3" s="3"/>
      <c r="ABP3" s="3"/>
      <c r="ABQ3" s="3"/>
      <c r="ABR3" s="3"/>
      <c r="ABS3" s="3"/>
      <c r="ABT3" s="3"/>
      <c r="ABU3" s="3"/>
      <c r="ABV3" s="3"/>
      <c r="ABW3" s="3"/>
      <c r="ABX3" s="3"/>
      <c r="ABY3" s="3"/>
      <c r="ABZ3" s="3"/>
      <c r="ACA3" s="3"/>
      <c r="ACB3" s="3"/>
      <c r="ACC3" s="3"/>
      <c r="ACD3" s="3"/>
      <c r="ACE3" s="3"/>
      <c r="ACF3" s="3"/>
      <c r="ACG3" s="3"/>
      <c r="ACH3" s="3"/>
      <c r="ACI3" s="3"/>
      <c r="ACJ3" s="3"/>
      <c r="ACK3" s="3"/>
      <c r="ACL3" s="3"/>
      <c r="ACM3" s="3"/>
      <c r="ACN3" s="3"/>
      <c r="ACO3" s="3"/>
      <c r="ACP3" s="3"/>
      <c r="ACQ3" s="3"/>
      <c r="ACR3" s="3"/>
      <c r="ACS3" s="3"/>
      <c r="ACT3" s="3"/>
      <c r="ACU3" s="3"/>
      <c r="ACV3" s="3"/>
      <c r="ACW3" s="3"/>
      <c r="ACX3" s="3"/>
      <c r="ACY3" s="3"/>
      <c r="ACZ3" s="3"/>
      <c r="ADA3" s="3"/>
      <c r="ADB3" s="3"/>
      <c r="ADC3" s="3"/>
      <c r="ADD3" s="3"/>
      <c r="ADE3" s="3"/>
      <c r="ADF3" s="3"/>
      <c r="ADG3" s="3"/>
      <c r="ADH3" s="3"/>
      <c r="ADI3" s="3"/>
      <c r="ADJ3" s="3"/>
      <c r="ADK3" s="3"/>
      <c r="ADL3" s="3"/>
      <c r="ADM3" s="3"/>
      <c r="ADN3" s="3"/>
      <c r="ADO3" s="3"/>
      <c r="ADP3" s="3"/>
      <c r="ADQ3" s="3"/>
      <c r="ADR3" s="3"/>
      <c r="ADS3" s="3"/>
      <c r="ADT3" s="3"/>
      <c r="ADU3" s="3"/>
      <c r="ADV3" s="3"/>
      <c r="ADW3" s="3"/>
      <c r="ADX3" s="3"/>
      <c r="ADY3" s="3"/>
      <c r="ADZ3" s="3"/>
      <c r="AEA3" s="3"/>
      <c r="AEB3" s="3"/>
      <c r="AEC3" s="3"/>
      <c r="AED3" s="3"/>
      <c r="AEE3" s="3"/>
      <c r="AEF3" s="3"/>
      <c r="AEG3" s="3"/>
      <c r="AEH3" s="3"/>
      <c r="AEI3" s="3"/>
      <c r="AEJ3" s="3"/>
      <c r="AEK3" s="3"/>
      <c r="AEL3" s="3"/>
      <c r="AEM3" s="3"/>
      <c r="AEN3" s="3"/>
      <c r="AEO3" s="3"/>
      <c r="AEP3" s="3"/>
      <c r="AEQ3" s="3"/>
      <c r="AER3" s="3"/>
      <c r="AES3" s="3"/>
      <c r="AET3" s="3"/>
      <c r="AEU3" s="3"/>
      <c r="AEV3" s="3"/>
      <c r="AEW3" s="3"/>
      <c r="AEX3" s="3"/>
      <c r="AEY3" s="3"/>
      <c r="AEZ3" s="3"/>
      <c r="AFA3" s="3"/>
      <c r="AFB3" s="3"/>
      <c r="AFC3" s="3"/>
      <c r="AFD3" s="3"/>
      <c r="AFE3" s="3"/>
      <c r="AFF3" s="3"/>
      <c r="AFG3" s="3"/>
      <c r="AFH3" s="3"/>
      <c r="AFI3" s="3"/>
      <c r="AFJ3" s="3"/>
      <c r="AFK3" s="3"/>
      <c r="AFL3" s="3"/>
      <c r="AFM3" s="3"/>
      <c r="AFN3" s="3"/>
      <c r="AFO3" s="3"/>
      <c r="AFP3" s="3"/>
      <c r="AFQ3" s="3"/>
      <c r="AFR3" s="3"/>
      <c r="AFS3" s="3"/>
      <c r="AFT3" s="3"/>
      <c r="AFU3" s="3"/>
      <c r="AFV3" s="3"/>
      <c r="AFW3" s="3"/>
      <c r="AFX3" s="3"/>
      <c r="AFY3" s="3"/>
      <c r="AFZ3" s="3"/>
      <c r="AGA3" s="3"/>
      <c r="AGB3" s="3"/>
      <c r="AGC3" s="3"/>
      <c r="AGD3" s="3"/>
      <c r="AGE3" s="3"/>
      <c r="AGF3" s="3"/>
      <c r="AGG3" s="3"/>
      <c r="AGH3" s="3"/>
      <c r="AGI3" s="3"/>
      <c r="AGJ3" s="3"/>
      <c r="AGK3" s="3"/>
      <c r="AGL3" s="3"/>
      <c r="AGM3" s="3"/>
      <c r="AGN3" s="3"/>
      <c r="AGO3" s="3"/>
      <c r="AGP3" s="3"/>
      <c r="AGQ3" s="3"/>
      <c r="AGR3" s="3"/>
      <c r="AGS3" s="3"/>
      <c r="AGT3" s="3"/>
      <c r="AGU3" s="3"/>
      <c r="AGV3" s="3"/>
      <c r="AGW3" s="3"/>
      <c r="AGX3" s="3"/>
      <c r="AGY3" s="3"/>
      <c r="AGZ3" s="3"/>
      <c r="AHA3" s="3"/>
      <c r="AHB3" s="3"/>
      <c r="AHC3" s="3"/>
      <c r="AHD3" s="3"/>
      <c r="AHE3" s="3"/>
      <c r="AHF3" s="3"/>
      <c r="AHG3" s="3"/>
      <c r="AHH3" s="3"/>
      <c r="AHI3" s="3"/>
      <c r="AHJ3" s="3"/>
      <c r="AHK3" s="3"/>
      <c r="AHL3" s="3"/>
      <c r="AHM3" s="3"/>
      <c r="AHN3" s="3"/>
      <c r="AHO3" s="3"/>
      <c r="AHP3" s="3"/>
      <c r="AHQ3" s="3"/>
      <c r="AHR3" s="3"/>
      <c r="AHS3" s="3"/>
      <c r="AHT3" s="3"/>
      <c r="AHU3" s="3"/>
      <c r="AHV3" s="3"/>
      <c r="AHW3" s="3"/>
      <c r="AHX3" s="3"/>
      <c r="AHY3" s="3"/>
      <c r="AHZ3" s="3"/>
      <c r="AIA3" s="3"/>
      <c r="AIB3" s="3"/>
      <c r="AIC3" s="3"/>
      <c r="AID3" s="3"/>
      <c r="AIE3" s="3"/>
      <c r="AIF3" s="3"/>
      <c r="AIG3" s="3"/>
      <c r="AIH3" s="3"/>
      <c r="AII3" s="3"/>
      <c r="AIJ3" s="3"/>
      <c r="AIK3" s="3"/>
      <c r="AIL3" s="3"/>
      <c r="AIM3" s="3"/>
      <c r="AIN3" s="3"/>
      <c r="AIO3" s="3"/>
      <c r="AIP3" s="3"/>
      <c r="AIQ3" s="3"/>
      <c r="AIR3" s="3"/>
      <c r="AIS3" s="3"/>
      <c r="AIT3" s="3"/>
      <c r="AIU3" s="3"/>
      <c r="AIV3" s="3"/>
      <c r="AIW3" s="3"/>
      <c r="AIX3" s="3"/>
      <c r="AIY3" s="3"/>
      <c r="AIZ3" s="3"/>
      <c r="AJA3" s="3"/>
      <c r="AJB3" s="3"/>
      <c r="AJC3" s="3"/>
      <c r="AJD3" s="3"/>
      <c r="AJE3" s="3"/>
      <c r="AJF3" s="3"/>
      <c r="AJG3" s="3"/>
      <c r="AJH3" s="3"/>
      <c r="AJI3" s="3"/>
      <c r="AJJ3" s="3"/>
      <c r="AJK3" s="3"/>
      <c r="AJL3" s="3"/>
      <c r="AJM3" s="3"/>
      <c r="AJN3" s="3"/>
      <c r="AJO3" s="3"/>
      <c r="AJP3" s="3"/>
      <c r="AJQ3" s="3"/>
      <c r="AJR3" s="3"/>
      <c r="AJS3" s="3"/>
      <c r="AJT3" s="3"/>
      <c r="AJU3" s="3"/>
      <c r="AJV3" s="3"/>
      <c r="AJW3" s="3"/>
      <c r="AJX3" s="3"/>
      <c r="AJY3" s="3"/>
      <c r="AJZ3" s="3"/>
    </row>
    <row r="4" spans="1:962" x14ac:dyDescent="0.3">
      <c r="A4" s="103">
        <v>1001</v>
      </c>
      <c r="B4" s="22" t="s">
        <v>51</v>
      </c>
      <c r="C4" s="105" t="s">
        <v>52</v>
      </c>
      <c r="D4" s="41">
        <v>3</v>
      </c>
      <c r="E4" s="52" t="b">
        <v>0</v>
      </c>
      <c r="F4" s="103">
        <v>3</v>
      </c>
      <c r="G4" s="105" t="s">
        <v>46</v>
      </c>
      <c r="H4" s="106">
        <v>1</v>
      </c>
      <c r="I4" s="106">
        <v>0.7</v>
      </c>
      <c r="J4" s="105" t="s">
        <v>53</v>
      </c>
      <c r="K4" s="105" t="s">
        <v>54</v>
      </c>
      <c r="L4" s="42">
        <v>1</v>
      </c>
      <c r="M4" s="105">
        <v>3</v>
      </c>
      <c r="N4" s="105">
        <v>0</v>
      </c>
      <c r="O4" s="105">
        <v>0</v>
      </c>
      <c r="P4" s="105">
        <v>0</v>
      </c>
      <c r="Q4" s="107">
        <v>0</v>
      </c>
      <c r="R4" s="108">
        <v>10</v>
      </c>
      <c r="S4" s="5">
        <f t="shared" ref="S4:S37" si="0">CEILING(65+((A4-1000)^ 1.3), 5)</f>
        <v>70</v>
      </c>
      <c r="T4" s="5">
        <v>800</v>
      </c>
      <c r="U4" s="5">
        <f t="shared" ref="U4:U37" si="1">CEILING(10+((A4-1000)^ 1.5), 5)</f>
        <v>15</v>
      </c>
      <c r="V4" s="38">
        <f t="shared" ref="V4:V37" si="2">CEILING(5+((A4-1000)^ 1.45), 5)</f>
        <v>10</v>
      </c>
      <c r="W4" s="15"/>
    </row>
    <row r="5" spans="1:962" x14ac:dyDescent="0.3">
      <c r="A5" s="43">
        <v>1002</v>
      </c>
      <c r="B5" s="14" t="s">
        <v>51</v>
      </c>
      <c r="C5" s="98" t="s">
        <v>55</v>
      </c>
      <c r="D5" s="44">
        <v>3</v>
      </c>
      <c r="E5" s="53" t="b">
        <v>0</v>
      </c>
      <c r="F5" s="108">
        <v>3</v>
      </c>
      <c r="G5" s="5" t="s">
        <v>46</v>
      </c>
      <c r="H5" s="21">
        <v>1</v>
      </c>
      <c r="I5" s="21">
        <v>0.7</v>
      </c>
      <c r="J5" s="5" t="s">
        <v>53</v>
      </c>
      <c r="K5" s="5" t="s">
        <v>54</v>
      </c>
      <c r="L5" s="4">
        <v>2</v>
      </c>
      <c r="M5" s="98">
        <v>3</v>
      </c>
      <c r="N5" s="98">
        <v>0</v>
      </c>
      <c r="O5" s="98">
        <v>0</v>
      </c>
      <c r="P5" s="98">
        <v>0</v>
      </c>
      <c r="Q5" s="101">
        <v>0</v>
      </c>
      <c r="R5" s="43">
        <v>10</v>
      </c>
      <c r="S5" s="5">
        <f t="shared" si="0"/>
        <v>70</v>
      </c>
      <c r="T5" s="98">
        <f t="shared" ref="T5:T37" si="3">CEILING(800+((A5-1002)^ 3), 5)</f>
        <v>800</v>
      </c>
      <c r="U5" s="5">
        <f t="shared" si="1"/>
        <v>15</v>
      </c>
      <c r="V5" s="38">
        <f t="shared" si="2"/>
        <v>10</v>
      </c>
      <c r="W5" s="15"/>
    </row>
    <row r="6" spans="1:962" x14ac:dyDescent="0.3">
      <c r="A6" s="43">
        <v>1003</v>
      </c>
      <c r="B6" s="14" t="s">
        <v>51</v>
      </c>
      <c r="C6" s="98" t="s">
        <v>56</v>
      </c>
      <c r="D6" s="44">
        <v>3</v>
      </c>
      <c r="E6" s="53" t="b">
        <v>0</v>
      </c>
      <c r="F6" s="108">
        <v>3</v>
      </c>
      <c r="G6" s="5" t="s">
        <v>46</v>
      </c>
      <c r="H6" s="21">
        <v>1</v>
      </c>
      <c r="I6" s="21">
        <v>0.7</v>
      </c>
      <c r="J6" s="5" t="s">
        <v>53</v>
      </c>
      <c r="K6" s="5" t="s">
        <v>54</v>
      </c>
      <c r="L6" s="4">
        <v>3</v>
      </c>
      <c r="M6" s="98">
        <v>3</v>
      </c>
      <c r="N6" s="98">
        <v>0</v>
      </c>
      <c r="O6" s="98">
        <v>0</v>
      </c>
      <c r="P6" s="98">
        <v>0</v>
      </c>
      <c r="Q6" s="101">
        <v>0</v>
      </c>
      <c r="R6" s="43">
        <v>10</v>
      </c>
      <c r="S6" s="5">
        <f t="shared" si="0"/>
        <v>70</v>
      </c>
      <c r="T6" s="98">
        <f t="shared" si="3"/>
        <v>805</v>
      </c>
      <c r="U6" s="5">
        <f t="shared" si="1"/>
        <v>20</v>
      </c>
      <c r="V6" s="38">
        <f t="shared" si="2"/>
        <v>10</v>
      </c>
      <c r="W6" s="15"/>
    </row>
    <row r="7" spans="1:962" x14ac:dyDescent="0.3">
      <c r="A7" s="43">
        <v>1004</v>
      </c>
      <c r="B7" s="14" t="s">
        <v>51</v>
      </c>
      <c r="C7" s="98" t="s">
        <v>57</v>
      </c>
      <c r="D7" s="44">
        <v>3</v>
      </c>
      <c r="E7" s="53" t="b">
        <v>0</v>
      </c>
      <c r="F7" s="108">
        <v>3</v>
      </c>
      <c r="G7" s="5" t="s">
        <v>46</v>
      </c>
      <c r="H7" s="21">
        <v>1</v>
      </c>
      <c r="I7" s="21">
        <v>0.7</v>
      </c>
      <c r="J7" s="5" t="s">
        <v>53</v>
      </c>
      <c r="K7" s="5" t="s">
        <v>54</v>
      </c>
      <c r="L7" s="4">
        <v>4</v>
      </c>
      <c r="M7" s="98">
        <v>3</v>
      </c>
      <c r="N7" s="98">
        <v>0</v>
      </c>
      <c r="O7" s="98">
        <v>0</v>
      </c>
      <c r="P7" s="98">
        <v>0</v>
      </c>
      <c r="Q7" s="101">
        <v>0</v>
      </c>
      <c r="R7" s="43">
        <v>10</v>
      </c>
      <c r="S7" s="5">
        <f t="shared" si="0"/>
        <v>75</v>
      </c>
      <c r="T7" s="98">
        <f t="shared" si="3"/>
        <v>810</v>
      </c>
      <c r="U7" s="5">
        <f t="shared" si="1"/>
        <v>20</v>
      </c>
      <c r="V7" s="38">
        <f t="shared" si="2"/>
        <v>15</v>
      </c>
      <c r="W7" s="15"/>
    </row>
    <row r="8" spans="1:962" x14ac:dyDescent="0.3">
      <c r="A8" s="43">
        <v>1005</v>
      </c>
      <c r="B8" s="14" t="s">
        <v>51</v>
      </c>
      <c r="C8" s="98" t="s">
        <v>58</v>
      </c>
      <c r="D8" s="44">
        <v>3</v>
      </c>
      <c r="E8" s="53" t="b">
        <v>0</v>
      </c>
      <c r="F8" s="108">
        <v>3</v>
      </c>
      <c r="G8" s="5" t="s">
        <v>46</v>
      </c>
      <c r="H8" s="21">
        <v>1</v>
      </c>
      <c r="I8" s="5">
        <v>0.7</v>
      </c>
      <c r="J8" s="5" t="s">
        <v>53</v>
      </c>
      <c r="K8" s="5" t="s">
        <v>54</v>
      </c>
      <c r="L8" s="4">
        <v>5</v>
      </c>
      <c r="M8" s="98">
        <v>3</v>
      </c>
      <c r="N8" s="98">
        <v>0</v>
      </c>
      <c r="O8" s="98">
        <v>0</v>
      </c>
      <c r="P8" s="98">
        <v>0</v>
      </c>
      <c r="Q8" s="101">
        <v>0</v>
      </c>
      <c r="R8" s="43">
        <v>10</v>
      </c>
      <c r="S8" s="5">
        <f t="shared" si="0"/>
        <v>75</v>
      </c>
      <c r="T8" s="98">
        <f t="shared" si="3"/>
        <v>830</v>
      </c>
      <c r="U8" s="5">
        <f t="shared" si="1"/>
        <v>25</v>
      </c>
      <c r="V8" s="38">
        <f t="shared" si="2"/>
        <v>20</v>
      </c>
      <c r="W8" s="15"/>
    </row>
    <row r="9" spans="1:962" x14ac:dyDescent="0.3">
      <c r="A9" s="43">
        <v>1006</v>
      </c>
      <c r="B9" s="14" t="s">
        <v>51</v>
      </c>
      <c r="C9" s="98" t="s">
        <v>59</v>
      </c>
      <c r="D9" s="44">
        <v>3</v>
      </c>
      <c r="E9" s="53" t="b">
        <v>0</v>
      </c>
      <c r="F9" s="108">
        <v>3</v>
      </c>
      <c r="G9" s="5" t="s">
        <v>46</v>
      </c>
      <c r="H9" s="21">
        <v>1</v>
      </c>
      <c r="I9" s="21">
        <v>0.7</v>
      </c>
      <c r="J9" s="5" t="s">
        <v>53</v>
      </c>
      <c r="K9" s="5" t="s">
        <v>54</v>
      </c>
      <c r="L9" s="4">
        <v>6</v>
      </c>
      <c r="M9" s="98">
        <v>3</v>
      </c>
      <c r="N9" s="98">
        <v>0</v>
      </c>
      <c r="O9" s="98">
        <v>0</v>
      </c>
      <c r="P9" s="98">
        <v>0</v>
      </c>
      <c r="Q9" s="101">
        <v>0</v>
      </c>
      <c r="R9" s="43">
        <v>10</v>
      </c>
      <c r="S9" s="5">
        <f t="shared" si="0"/>
        <v>80</v>
      </c>
      <c r="T9" s="98">
        <f t="shared" si="3"/>
        <v>865</v>
      </c>
      <c r="U9" s="5">
        <f t="shared" si="1"/>
        <v>25</v>
      </c>
      <c r="V9" s="38">
        <f t="shared" si="2"/>
        <v>20</v>
      </c>
      <c r="W9" s="15"/>
    </row>
    <row r="10" spans="1:962" x14ac:dyDescent="0.3">
      <c r="A10" s="43">
        <v>1007</v>
      </c>
      <c r="B10" s="14" t="s">
        <v>51</v>
      </c>
      <c r="C10" s="98" t="s">
        <v>60</v>
      </c>
      <c r="D10" s="44">
        <v>3</v>
      </c>
      <c r="E10" s="53" t="b">
        <v>0</v>
      </c>
      <c r="F10" s="108">
        <v>3</v>
      </c>
      <c r="G10" s="5" t="s">
        <v>46</v>
      </c>
      <c r="H10" s="21">
        <v>1</v>
      </c>
      <c r="I10" s="21">
        <v>0.7</v>
      </c>
      <c r="J10" s="5" t="s">
        <v>53</v>
      </c>
      <c r="K10" s="5" t="s">
        <v>54</v>
      </c>
      <c r="L10" s="4">
        <v>7</v>
      </c>
      <c r="M10" s="98">
        <v>3</v>
      </c>
      <c r="N10" s="98">
        <v>0</v>
      </c>
      <c r="O10" s="98">
        <v>0</v>
      </c>
      <c r="P10" s="98">
        <v>0</v>
      </c>
      <c r="Q10" s="101">
        <v>0</v>
      </c>
      <c r="R10" s="43">
        <v>10</v>
      </c>
      <c r="S10" s="5">
        <f t="shared" si="0"/>
        <v>80</v>
      </c>
      <c r="T10" s="98">
        <f t="shared" si="3"/>
        <v>925</v>
      </c>
      <c r="U10" s="5">
        <f t="shared" si="1"/>
        <v>30</v>
      </c>
      <c r="V10" s="38">
        <f t="shared" si="2"/>
        <v>25</v>
      </c>
      <c r="W10" s="15"/>
    </row>
    <row r="11" spans="1:962" x14ac:dyDescent="0.3">
      <c r="A11" s="43">
        <v>1008</v>
      </c>
      <c r="B11" s="14" t="s">
        <v>51</v>
      </c>
      <c r="C11" s="98" t="s">
        <v>61</v>
      </c>
      <c r="D11" s="44">
        <v>3</v>
      </c>
      <c r="E11" s="53" t="b">
        <v>0</v>
      </c>
      <c r="F11" s="108">
        <v>3</v>
      </c>
      <c r="G11" s="5" t="s">
        <v>46</v>
      </c>
      <c r="H11" s="21">
        <v>1</v>
      </c>
      <c r="I11" s="21">
        <v>0.7</v>
      </c>
      <c r="J11" s="5" t="s">
        <v>53</v>
      </c>
      <c r="K11" s="5" t="s">
        <v>54</v>
      </c>
      <c r="L11" s="4">
        <v>8</v>
      </c>
      <c r="M11" s="98">
        <v>3</v>
      </c>
      <c r="N11" s="98">
        <v>0</v>
      </c>
      <c r="O11" s="98">
        <v>0</v>
      </c>
      <c r="P11" s="98">
        <v>0</v>
      </c>
      <c r="Q11" s="101">
        <v>0</v>
      </c>
      <c r="R11" s="43">
        <v>10</v>
      </c>
      <c r="S11" s="5">
        <f t="shared" si="0"/>
        <v>80</v>
      </c>
      <c r="T11" s="98">
        <f t="shared" si="3"/>
        <v>1020</v>
      </c>
      <c r="U11" s="5">
        <f t="shared" si="1"/>
        <v>35</v>
      </c>
      <c r="V11" s="38">
        <f t="shared" si="2"/>
        <v>30</v>
      </c>
      <c r="W11" s="15"/>
    </row>
    <row r="12" spans="1:962" x14ac:dyDescent="0.3">
      <c r="A12" s="43">
        <v>1009</v>
      </c>
      <c r="B12" s="14" t="s">
        <v>51</v>
      </c>
      <c r="C12" s="98" t="s">
        <v>62</v>
      </c>
      <c r="D12" s="44">
        <v>3</v>
      </c>
      <c r="E12" s="53" t="b">
        <v>0</v>
      </c>
      <c r="F12" s="108">
        <v>3</v>
      </c>
      <c r="G12" s="5" t="s">
        <v>46</v>
      </c>
      <c r="H12" s="21">
        <v>1</v>
      </c>
      <c r="I12" s="21">
        <v>0.7</v>
      </c>
      <c r="J12" s="5" t="s">
        <v>53</v>
      </c>
      <c r="K12" s="5" t="s">
        <v>54</v>
      </c>
      <c r="L12" s="4">
        <v>9</v>
      </c>
      <c r="M12" s="98">
        <v>3</v>
      </c>
      <c r="N12" s="98">
        <v>0</v>
      </c>
      <c r="O12" s="98">
        <v>0</v>
      </c>
      <c r="P12" s="98">
        <v>0</v>
      </c>
      <c r="Q12" s="101">
        <v>0</v>
      </c>
      <c r="R12" s="43">
        <v>10</v>
      </c>
      <c r="S12" s="5">
        <f t="shared" si="0"/>
        <v>85</v>
      </c>
      <c r="T12" s="98">
        <f t="shared" si="3"/>
        <v>1145</v>
      </c>
      <c r="U12" s="5">
        <f t="shared" si="1"/>
        <v>40</v>
      </c>
      <c r="V12" s="38">
        <f t="shared" si="2"/>
        <v>30</v>
      </c>
      <c r="W12" s="15"/>
    </row>
    <row r="13" spans="1:962" x14ac:dyDescent="0.3">
      <c r="A13" s="43">
        <v>1010</v>
      </c>
      <c r="B13" s="14" t="s">
        <v>51</v>
      </c>
      <c r="C13" s="98" t="s">
        <v>63</v>
      </c>
      <c r="D13" s="44">
        <v>3</v>
      </c>
      <c r="E13" s="53" t="b">
        <v>0</v>
      </c>
      <c r="F13" s="108">
        <v>3</v>
      </c>
      <c r="G13" s="5" t="s">
        <v>46</v>
      </c>
      <c r="H13" s="21">
        <v>1</v>
      </c>
      <c r="I13" s="21">
        <v>0.7</v>
      </c>
      <c r="J13" s="5" t="s">
        <v>53</v>
      </c>
      <c r="K13" s="5" t="s">
        <v>54</v>
      </c>
      <c r="L13" s="4">
        <v>10</v>
      </c>
      <c r="M13" s="98">
        <v>3</v>
      </c>
      <c r="N13" s="98">
        <v>0</v>
      </c>
      <c r="O13" s="98">
        <v>0</v>
      </c>
      <c r="P13" s="98">
        <v>0</v>
      </c>
      <c r="Q13" s="101">
        <v>0</v>
      </c>
      <c r="R13" s="43">
        <v>10</v>
      </c>
      <c r="S13" s="5">
        <f t="shared" si="0"/>
        <v>85</v>
      </c>
      <c r="T13" s="98">
        <f t="shared" si="3"/>
        <v>1315</v>
      </c>
      <c r="U13" s="5">
        <f t="shared" si="1"/>
        <v>45</v>
      </c>
      <c r="V13" s="38">
        <f t="shared" si="2"/>
        <v>35</v>
      </c>
      <c r="W13" s="15"/>
    </row>
    <row r="14" spans="1:962" x14ac:dyDescent="0.3">
      <c r="A14" s="43">
        <v>1011</v>
      </c>
      <c r="B14" s="14" t="s">
        <v>51</v>
      </c>
      <c r="C14" s="98" t="s">
        <v>64</v>
      </c>
      <c r="D14" s="44">
        <v>3</v>
      </c>
      <c r="E14" s="53" t="b">
        <v>0</v>
      </c>
      <c r="F14" s="108">
        <v>3</v>
      </c>
      <c r="G14" s="5" t="s">
        <v>46</v>
      </c>
      <c r="H14" s="21">
        <v>1</v>
      </c>
      <c r="I14" s="21">
        <v>0.7</v>
      </c>
      <c r="J14" s="5" t="s">
        <v>53</v>
      </c>
      <c r="K14" s="5" t="s">
        <v>54</v>
      </c>
      <c r="L14" s="4">
        <v>11</v>
      </c>
      <c r="M14" s="98">
        <v>3</v>
      </c>
      <c r="N14" s="98">
        <v>0</v>
      </c>
      <c r="O14" s="98">
        <v>0</v>
      </c>
      <c r="P14" s="98">
        <v>0</v>
      </c>
      <c r="Q14" s="101">
        <v>0</v>
      </c>
      <c r="R14" s="43">
        <v>10</v>
      </c>
      <c r="S14" s="5">
        <f t="shared" si="0"/>
        <v>90</v>
      </c>
      <c r="T14" s="98">
        <f t="shared" si="3"/>
        <v>1530</v>
      </c>
      <c r="U14" s="5">
        <f t="shared" si="1"/>
        <v>50</v>
      </c>
      <c r="V14" s="38">
        <f t="shared" si="2"/>
        <v>40</v>
      </c>
      <c r="W14" s="15"/>
    </row>
    <row r="15" spans="1:962" x14ac:dyDescent="0.3">
      <c r="A15" s="43">
        <v>1012</v>
      </c>
      <c r="B15" s="14" t="s">
        <v>51</v>
      </c>
      <c r="C15" s="98" t="s">
        <v>65</v>
      </c>
      <c r="D15" s="44">
        <v>3</v>
      </c>
      <c r="E15" s="53" t="b">
        <v>0</v>
      </c>
      <c r="F15" s="108">
        <v>3</v>
      </c>
      <c r="G15" s="5" t="s">
        <v>46</v>
      </c>
      <c r="H15" s="21">
        <v>1</v>
      </c>
      <c r="I15" s="21">
        <v>0.7</v>
      </c>
      <c r="J15" s="5" t="s">
        <v>53</v>
      </c>
      <c r="K15" s="5" t="s">
        <v>54</v>
      </c>
      <c r="L15" s="4">
        <v>12</v>
      </c>
      <c r="M15" s="98">
        <v>3</v>
      </c>
      <c r="N15" s="98">
        <v>0</v>
      </c>
      <c r="O15" s="98">
        <v>0</v>
      </c>
      <c r="P15" s="98">
        <v>0</v>
      </c>
      <c r="Q15" s="101">
        <v>0</v>
      </c>
      <c r="R15" s="43">
        <v>10</v>
      </c>
      <c r="S15" s="5">
        <f t="shared" si="0"/>
        <v>95</v>
      </c>
      <c r="T15" s="98">
        <f t="shared" si="3"/>
        <v>1800</v>
      </c>
      <c r="U15" s="5">
        <f t="shared" si="1"/>
        <v>55</v>
      </c>
      <c r="V15" s="38">
        <f t="shared" si="2"/>
        <v>45</v>
      </c>
      <c r="W15" s="15"/>
    </row>
    <row r="16" spans="1:962" x14ac:dyDescent="0.3">
      <c r="A16" s="43">
        <v>1013</v>
      </c>
      <c r="B16" s="14" t="s">
        <v>51</v>
      </c>
      <c r="C16" s="98" t="s">
        <v>66</v>
      </c>
      <c r="D16" s="44">
        <v>3</v>
      </c>
      <c r="E16" s="53" t="b">
        <v>0</v>
      </c>
      <c r="F16" s="108">
        <v>3</v>
      </c>
      <c r="G16" s="5" t="s">
        <v>46</v>
      </c>
      <c r="H16" s="21">
        <v>1</v>
      </c>
      <c r="I16" s="21">
        <v>0.7</v>
      </c>
      <c r="J16" s="5" t="s">
        <v>53</v>
      </c>
      <c r="K16" s="5" t="s">
        <v>54</v>
      </c>
      <c r="L16" s="4">
        <v>13</v>
      </c>
      <c r="M16" s="98">
        <v>3</v>
      </c>
      <c r="N16" s="98">
        <v>0</v>
      </c>
      <c r="O16" s="98">
        <v>0</v>
      </c>
      <c r="P16" s="98">
        <v>0</v>
      </c>
      <c r="Q16" s="101">
        <v>0</v>
      </c>
      <c r="R16" s="43">
        <v>10</v>
      </c>
      <c r="S16" s="5">
        <f t="shared" si="0"/>
        <v>95</v>
      </c>
      <c r="T16" s="98">
        <f t="shared" si="3"/>
        <v>2135</v>
      </c>
      <c r="U16" s="5">
        <f t="shared" si="1"/>
        <v>60</v>
      </c>
      <c r="V16" s="38">
        <f t="shared" si="2"/>
        <v>50</v>
      </c>
      <c r="W16" s="15"/>
    </row>
    <row r="17" spans="1:23" x14ac:dyDescent="0.3">
      <c r="A17" s="43">
        <v>1014</v>
      </c>
      <c r="B17" s="14" t="s">
        <v>51</v>
      </c>
      <c r="C17" s="98" t="s">
        <v>67</v>
      </c>
      <c r="D17" s="44">
        <v>3</v>
      </c>
      <c r="E17" s="53" t="b">
        <v>0</v>
      </c>
      <c r="F17" s="108">
        <v>3</v>
      </c>
      <c r="G17" s="5" t="s">
        <v>46</v>
      </c>
      <c r="H17" s="21">
        <v>1</v>
      </c>
      <c r="I17" s="21">
        <v>0.7</v>
      </c>
      <c r="J17" s="5" t="s">
        <v>53</v>
      </c>
      <c r="K17" s="5" t="s">
        <v>54</v>
      </c>
      <c r="L17" s="4">
        <v>14</v>
      </c>
      <c r="M17" s="98">
        <v>3</v>
      </c>
      <c r="N17" s="98">
        <v>0</v>
      </c>
      <c r="O17" s="98">
        <v>0</v>
      </c>
      <c r="P17" s="98">
        <v>0</v>
      </c>
      <c r="Q17" s="101">
        <v>0</v>
      </c>
      <c r="R17" s="43">
        <v>10</v>
      </c>
      <c r="S17" s="5">
        <f t="shared" si="0"/>
        <v>100</v>
      </c>
      <c r="T17" s="98">
        <f t="shared" si="3"/>
        <v>2530</v>
      </c>
      <c r="U17" s="5">
        <f t="shared" si="1"/>
        <v>65</v>
      </c>
      <c r="V17" s="38">
        <f t="shared" si="2"/>
        <v>55</v>
      </c>
      <c r="W17" s="15"/>
    </row>
    <row r="18" spans="1:23" x14ac:dyDescent="0.3">
      <c r="A18" s="43">
        <v>1015</v>
      </c>
      <c r="B18" s="14" t="s">
        <v>51</v>
      </c>
      <c r="C18" s="98" t="s">
        <v>68</v>
      </c>
      <c r="D18" s="44">
        <v>3</v>
      </c>
      <c r="E18" s="53" t="b">
        <v>0</v>
      </c>
      <c r="F18" s="108">
        <v>3</v>
      </c>
      <c r="G18" s="5" t="s">
        <v>46</v>
      </c>
      <c r="H18" s="21">
        <v>1</v>
      </c>
      <c r="I18" s="21">
        <v>0.7</v>
      </c>
      <c r="J18" s="5" t="s">
        <v>53</v>
      </c>
      <c r="K18" s="5" t="s">
        <v>54</v>
      </c>
      <c r="L18" s="4">
        <v>15</v>
      </c>
      <c r="M18" s="98">
        <v>3</v>
      </c>
      <c r="N18" s="98">
        <v>0</v>
      </c>
      <c r="O18" s="98">
        <v>0</v>
      </c>
      <c r="P18" s="98">
        <v>0</v>
      </c>
      <c r="Q18" s="101">
        <v>0</v>
      </c>
      <c r="R18" s="43">
        <v>10</v>
      </c>
      <c r="S18" s="5">
        <f t="shared" si="0"/>
        <v>100</v>
      </c>
      <c r="T18" s="98">
        <f t="shared" si="3"/>
        <v>3000</v>
      </c>
      <c r="U18" s="5">
        <f t="shared" si="1"/>
        <v>70</v>
      </c>
      <c r="V18" s="38">
        <f t="shared" si="2"/>
        <v>60</v>
      </c>
      <c r="W18" s="15"/>
    </row>
    <row r="19" spans="1:23" x14ac:dyDescent="0.3">
      <c r="A19" s="43">
        <v>1016</v>
      </c>
      <c r="B19" s="14" t="s">
        <v>51</v>
      </c>
      <c r="C19" s="98" t="s">
        <v>69</v>
      </c>
      <c r="D19" s="44">
        <v>3</v>
      </c>
      <c r="E19" s="53" t="b">
        <v>0</v>
      </c>
      <c r="F19" s="108">
        <v>3</v>
      </c>
      <c r="G19" s="5" t="s">
        <v>46</v>
      </c>
      <c r="H19" s="21">
        <v>1</v>
      </c>
      <c r="I19" s="21">
        <v>0.7</v>
      </c>
      <c r="J19" s="5" t="s">
        <v>53</v>
      </c>
      <c r="K19" s="5" t="s">
        <v>54</v>
      </c>
      <c r="L19" s="4">
        <v>16</v>
      </c>
      <c r="M19" s="98">
        <v>3</v>
      </c>
      <c r="N19" s="98">
        <v>0</v>
      </c>
      <c r="O19" s="98">
        <v>0</v>
      </c>
      <c r="P19" s="98">
        <v>0</v>
      </c>
      <c r="Q19" s="101">
        <v>0</v>
      </c>
      <c r="R19" s="43">
        <v>10</v>
      </c>
      <c r="S19" s="5">
        <f t="shared" si="0"/>
        <v>105</v>
      </c>
      <c r="T19" s="98">
        <f t="shared" si="3"/>
        <v>3545</v>
      </c>
      <c r="U19" s="5">
        <f t="shared" si="1"/>
        <v>75</v>
      </c>
      <c r="V19" s="38">
        <f t="shared" si="2"/>
        <v>65</v>
      </c>
      <c r="W19" s="15"/>
    </row>
    <row r="20" spans="1:23" x14ac:dyDescent="0.3">
      <c r="A20" s="43">
        <v>1017</v>
      </c>
      <c r="B20" s="14" t="s">
        <v>51</v>
      </c>
      <c r="C20" s="98" t="s">
        <v>70</v>
      </c>
      <c r="D20" s="44">
        <v>3</v>
      </c>
      <c r="E20" s="53" t="b">
        <v>0</v>
      </c>
      <c r="F20" s="108">
        <v>3</v>
      </c>
      <c r="G20" s="5" t="s">
        <v>46</v>
      </c>
      <c r="H20" s="21">
        <v>1</v>
      </c>
      <c r="I20" s="21">
        <v>0.7</v>
      </c>
      <c r="J20" s="5" t="s">
        <v>53</v>
      </c>
      <c r="K20" s="5" t="s">
        <v>54</v>
      </c>
      <c r="L20" s="4">
        <v>17</v>
      </c>
      <c r="M20" s="98">
        <v>3</v>
      </c>
      <c r="N20" s="98">
        <v>0</v>
      </c>
      <c r="O20" s="98">
        <v>0</v>
      </c>
      <c r="P20" s="98">
        <v>0</v>
      </c>
      <c r="Q20" s="101">
        <v>0</v>
      </c>
      <c r="R20" s="43">
        <v>10</v>
      </c>
      <c r="S20" s="5">
        <f t="shared" si="0"/>
        <v>105</v>
      </c>
      <c r="T20" s="98">
        <f t="shared" si="3"/>
        <v>4175</v>
      </c>
      <c r="U20" s="5">
        <f t="shared" si="1"/>
        <v>85</v>
      </c>
      <c r="V20" s="38">
        <f t="shared" si="2"/>
        <v>70</v>
      </c>
      <c r="W20" s="15"/>
    </row>
    <row r="21" spans="1:23" x14ac:dyDescent="0.3">
      <c r="A21" s="43">
        <v>1018</v>
      </c>
      <c r="B21" s="14" t="s">
        <v>51</v>
      </c>
      <c r="C21" s="98" t="s">
        <v>71</v>
      </c>
      <c r="D21" s="44">
        <v>3</v>
      </c>
      <c r="E21" s="53" t="b">
        <v>0</v>
      </c>
      <c r="F21" s="108">
        <v>3</v>
      </c>
      <c r="G21" s="5" t="s">
        <v>46</v>
      </c>
      <c r="H21" s="21">
        <v>1</v>
      </c>
      <c r="I21" s="21">
        <v>0.7</v>
      </c>
      <c r="J21" s="5" t="s">
        <v>53</v>
      </c>
      <c r="K21" s="5" t="s">
        <v>54</v>
      </c>
      <c r="L21" s="4">
        <v>18</v>
      </c>
      <c r="M21" s="98">
        <v>3</v>
      </c>
      <c r="N21" s="98">
        <v>0</v>
      </c>
      <c r="O21" s="98">
        <v>0</v>
      </c>
      <c r="P21" s="98">
        <v>0</v>
      </c>
      <c r="Q21" s="101">
        <v>0</v>
      </c>
      <c r="R21" s="43">
        <v>10</v>
      </c>
      <c r="S21" s="5">
        <f t="shared" si="0"/>
        <v>110</v>
      </c>
      <c r="T21" s="98">
        <f t="shared" si="3"/>
        <v>4900</v>
      </c>
      <c r="U21" s="5">
        <f t="shared" si="1"/>
        <v>90</v>
      </c>
      <c r="V21" s="38">
        <f t="shared" si="2"/>
        <v>75</v>
      </c>
      <c r="W21" s="15"/>
    </row>
    <row r="22" spans="1:23" x14ac:dyDescent="0.3">
      <c r="A22" s="43">
        <v>1019</v>
      </c>
      <c r="B22" s="14" t="s">
        <v>51</v>
      </c>
      <c r="C22" s="98" t="s">
        <v>72</v>
      </c>
      <c r="D22" s="44">
        <v>3</v>
      </c>
      <c r="E22" s="53" t="b">
        <v>0</v>
      </c>
      <c r="F22" s="108">
        <v>3</v>
      </c>
      <c r="G22" s="5" t="s">
        <v>46</v>
      </c>
      <c r="H22" s="21">
        <v>1</v>
      </c>
      <c r="I22" s="21">
        <v>0.7</v>
      </c>
      <c r="J22" s="5" t="s">
        <v>53</v>
      </c>
      <c r="K22" s="5" t="s">
        <v>54</v>
      </c>
      <c r="L22" s="4">
        <v>19</v>
      </c>
      <c r="M22" s="98">
        <v>3</v>
      </c>
      <c r="N22" s="98">
        <v>0</v>
      </c>
      <c r="O22" s="98">
        <v>0</v>
      </c>
      <c r="P22" s="98">
        <v>0</v>
      </c>
      <c r="Q22" s="101">
        <v>0</v>
      </c>
      <c r="R22" s="43">
        <v>10</v>
      </c>
      <c r="S22" s="5">
        <f t="shared" si="0"/>
        <v>115</v>
      </c>
      <c r="T22" s="98">
        <f t="shared" si="3"/>
        <v>5715</v>
      </c>
      <c r="U22" s="5">
        <f t="shared" si="1"/>
        <v>95</v>
      </c>
      <c r="V22" s="38">
        <f t="shared" si="2"/>
        <v>80</v>
      </c>
      <c r="W22" s="15"/>
    </row>
    <row r="23" spans="1:23" x14ac:dyDescent="0.3">
      <c r="A23" s="43">
        <v>1020</v>
      </c>
      <c r="B23" s="14" t="s">
        <v>51</v>
      </c>
      <c r="C23" s="98" t="s">
        <v>73</v>
      </c>
      <c r="D23" s="44">
        <v>3</v>
      </c>
      <c r="E23" s="53" t="b">
        <v>0</v>
      </c>
      <c r="F23" s="108">
        <v>3</v>
      </c>
      <c r="G23" s="5" t="s">
        <v>46</v>
      </c>
      <c r="H23" s="21">
        <v>1</v>
      </c>
      <c r="I23" s="21">
        <v>0.7</v>
      </c>
      <c r="J23" s="5" t="s">
        <v>53</v>
      </c>
      <c r="K23" s="5" t="s">
        <v>54</v>
      </c>
      <c r="L23" s="4">
        <v>20</v>
      </c>
      <c r="M23" s="98">
        <v>3</v>
      </c>
      <c r="N23" s="98">
        <v>0</v>
      </c>
      <c r="O23" s="98">
        <v>0</v>
      </c>
      <c r="P23" s="98">
        <v>0</v>
      </c>
      <c r="Q23" s="101">
        <v>0</v>
      </c>
      <c r="R23" s="43">
        <v>10</v>
      </c>
      <c r="S23" s="5">
        <f t="shared" si="0"/>
        <v>115</v>
      </c>
      <c r="T23" s="98">
        <f t="shared" si="3"/>
        <v>6635</v>
      </c>
      <c r="U23" s="5">
        <f t="shared" si="1"/>
        <v>100</v>
      </c>
      <c r="V23" s="38">
        <f t="shared" si="2"/>
        <v>85</v>
      </c>
      <c r="W23" s="15"/>
    </row>
    <row r="24" spans="1:23" x14ac:dyDescent="0.3">
      <c r="A24" s="43">
        <v>1021</v>
      </c>
      <c r="B24" s="14" t="s">
        <v>51</v>
      </c>
      <c r="C24" s="98" t="s">
        <v>74</v>
      </c>
      <c r="D24" s="44">
        <v>3</v>
      </c>
      <c r="E24" s="53" t="b">
        <v>0</v>
      </c>
      <c r="F24" s="108">
        <v>3</v>
      </c>
      <c r="G24" s="5" t="s">
        <v>46</v>
      </c>
      <c r="H24" s="21">
        <v>1</v>
      </c>
      <c r="I24" s="21">
        <v>0.7</v>
      </c>
      <c r="J24" s="5" t="s">
        <v>53</v>
      </c>
      <c r="K24" s="5" t="s">
        <v>54</v>
      </c>
      <c r="L24" s="4">
        <v>21</v>
      </c>
      <c r="M24" s="98">
        <v>3</v>
      </c>
      <c r="N24" s="98">
        <v>0</v>
      </c>
      <c r="O24" s="98">
        <v>0</v>
      </c>
      <c r="P24" s="98">
        <v>0</v>
      </c>
      <c r="Q24" s="101">
        <v>0</v>
      </c>
      <c r="R24" s="43">
        <v>10</v>
      </c>
      <c r="S24" s="5">
        <f t="shared" si="0"/>
        <v>120</v>
      </c>
      <c r="T24" s="98">
        <f t="shared" si="3"/>
        <v>7660</v>
      </c>
      <c r="U24" s="5">
        <f t="shared" si="1"/>
        <v>110</v>
      </c>
      <c r="V24" s="38">
        <f t="shared" si="2"/>
        <v>90</v>
      </c>
      <c r="W24" s="15"/>
    </row>
    <row r="25" spans="1:23" x14ac:dyDescent="0.3">
      <c r="A25" s="43">
        <v>1022</v>
      </c>
      <c r="B25" s="14" t="s">
        <v>51</v>
      </c>
      <c r="C25" s="98" t="s">
        <v>75</v>
      </c>
      <c r="D25" s="44">
        <v>3</v>
      </c>
      <c r="E25" s="53" t="b">
        <v>0</v>
      </c>
      <c r="F25" s="108">
        <v>3</v>
      </c>
      <c r="G25" s="5" t="s">
        <v>46</v>
      </c>
      <c r="H25" s="21">
        <v>1</v>
      </c>
      <c r="I25" s="21">
        <v>0.7</v>
      </c>
      <c r="J25" s="5" t="s">
        <v>53</v>
      </c>
      <c r="K25" s="5" t="s">
        <v>54</v>
      </c>
      <c r="L25" s="4">
        <v>22</v>
      </c>
      <c r="M25" s="98">
        <v>3</v>
      </c>
      <c r="N25" s="98">
        <v>0</v>
      </c>
      <c r="O25" s="98">
        <v>0</v>
      </c>
      <c r="P25" s="98">
        <v>0</v>
      </c>
      <c r="Q25" s="101">
        <v>0</v>
      </c>
      <c r="R25" s="43">
        <v>10</v>
      </c>
      <c r="S25" s="5">
        <f t="shared" si="0"/>
        <v>125</v>
      </c>
      <c r="T25" s="98">
        <f t="shared" si="3"/>
        <v>8800</v>
      </c>
      <c r="U25" s="5">
        <f t="shared" si="1"/>
        <v>115</v>
      </c>
      <c r="V25" s="38">
        <f t="shared" si="2"/>
        <v>95</v>
      </c>
      <c r="W25" s="15"/>
    </row>
    <row r="26" spans="1:23" x14ac:dyDescent="0.3">
      <c r="A26" s="43">
        <v>1023</v>
      </c>
      <c r="B26" s="14" t="s">
        <v>51</v>
      </c>
      <c r="C26" s="98" t="s">
        <v>76</v>
      </c>
      <c r="D26" s="44">
        <v>3</v>
      </c>
      <c r="E26" s="53" t="b">
        <v>0</v>
      </c>
      <c r="F26" s="108">
        <v>3</v>
      </c>
      <c r="G26" s="5" t="s">
        <v>46</v>
      </c>
      <c r="H26" s="21">
        <v>1</v>
      </c>
      <c r="I26" s="21">
        <v>0.7</v>
      </c>
      <c r="J26" s="5" t="s">
        <v>53</v>
      </c>
      <c r="K26" s="5" t="s">
        <v>54</v>
      </c>
      <c r="L26" s="4">
        <v>23</v>
      </c>
      <c r="M26" s="98">
        <v>3</v>
      </c>
      <c r="N26" s="98">
        <v>0</v>
      </c>
      <c r="O26" s="98">
        <v>0</v>
      </c>
      <c r="P26" s="98">
        <v>0</v>
      </c>
      <c r="Q26" s="101">
        <v>0</v>
      </c>
      <c r="R26" s="43">
        <v>10</v>
      </c>
      <c r="S26" s="5">
        <f t="shared" si="0"/>
        <v>125</v>
      </c>
      <c r="T26" s="98">
        <f t="shared" si="3"/>
        <v>10065</v>
      </c>
      <c r="U26" s="5">
        <f t="shared" si="1"/>
        <v>125</v>
      </c>
      <c r="V26" s="38">
        <f t="shared" si="2"/>
        <v>100</v>
      </c>
      <c r="W26" s="15"/>
    </row>
    <row r="27" spans="1:23" x14ac:dyDescent="0.3">
      <c r="A27" s="43">
        <v>1024</v>
      </c>
      <c r="B27" s="14" t="s">
        <v>51</v>
      </c>
      <c r="C27" s="98" t="s">
        <v>77</v>
      </c>
      <c r="D27" s="44">
        <v>3</v>
      </c>
      <c r="E27" s="53" t="b">
        <v>0</v>
      </c>
      <c r="F27" s="108">
        <v>3</v>
      </c>
      <c r="G27" s="5" t="s">
        <v>46</v>
      </c>
      <c r="H27" s="21">
        <v>1</v>
      </c>
      <c r="I27" s="21">
        <v>0.7</v>
      </c>
      <c r="J27" s="5" t="s">
        <v>53</v>
      </c>
      <c r="K27" s="5" t="s">
        <v>54</v>
      </c>
      <c r="L27" s="4">
        <v>24</v>
      </c>
      <c r="M27" s="98">
        <v>3</v>
      </c>
      <c r="N27" s="98">
        <v>0</v>
      </c>
      <c r="O27" s="98">
        <v>0</v>
      </c>
      <c r="P27" s="98">
        <v>0</v>
      </c>
      <c r="Q27" s="101">
        <v>0</v>
      </c>
      <c r="R27" s="43">
        <v>10</v>
      </c>
      <c r="S27" s="5">
        <f t="shared" si="0"/>
        <v>130</v>
      </c>
      <c r="T27" s="98">
        <f t="shared" si="3"/>
        <v>11450</v>
      </c>
      <c r="U27" s="5">
        <f t="shared" si="1"/>
        <v>130</v>
      </c>
      <c r="V27" s="38">
        <f t="shared" si="2"/>
        <v>110</v>
      </c>
      <c r="W27" s="15"/>
    </row>
    <row r="28" spans="1:23" x14ac:dyDescent="0.3">
      <c r="A28" s="43">
        <v>1025</v>
      </c>
      <c r="B28" s="14" t="s">
        <v>51</v>
      </c>
      <c r="C28" s="98" t="s">
        <v>78</v>
      </c>
      <c r="D28" s="44">
        <v>3</v>
      </c>
      <c r="E28" s="53" t="b">
        <v>0</v>
      </c>
      <c r="F28" s="108">
        <v>3</v>
      </c>
      <c r="G28" s="5" t="s">
        <v>46</v>
      </c>
      <c r="H28" s="21">
        <v>1</v>
      </c>
      <c r="I28" s="21">
        <v>0.7</v>
      </c>
      <c r="J28" s="5" t="s">
        <v>53</v>
      </c>
      <c r="K28" s="5" t="s">
        <v>54</v>
      </c>
      <c r="L28" s="4">
        <v>25</v>
      </c>
      <c r="M28" s="98">
        <v>3</v>
      </c>
      <c r="N28" s="98">
        <v>0</v>
      </c>
      <c r="O28" s="98">
        <v>0</v>
      </c>
      <c r="P28" s="98">
        <v>0</v>
      </c>
      <c r="Q28" s="101">
        <v>0</v>
      </c>
      <c r="R28" s="43">
        <v>10</v>
      </c>
      <c r="S28" s="5">
        <f t="shared" si="0"/>
        <v>135</v>
      </c>
      <c r="T28" s="98">
        <f t="shared" si="3"/>
        <v>12970</v>
      </c>
      <c r="U28" s="5">
        <f t="shared" si="1"/>
        <v>135</v>
      </c>
      <c r="V28" s="38">
        <f t="shared" si="2"/>
        <v>115</v>
      </c>
      <c r="W28" s="15"/>
    </row>
    <row r="29" spans="1:23" x14ac:dyDescent="0.3">
      <c r="A29" s="43">
        <v>1026</v>
      </c>
      <c r="B29" s="14" t="s">
        <v>51</v>
      </c>
      <c r="C29" s="98" t="s">
        <v>79</v>
      </c>
      <c r="D29" s="44">
        <v>3</v>
      </c>
      <c r="E29" s="53" t="b">
        <v>0</v>
      </c>
      <c r="F29" s="108">
        <v>3</v>
      </c>
      <c r="G29" s="5" t="s">
        <v>46</v>
      </c>
      <c r="H29" s="21">
        <v>1</v>
      </c>
      <c r="I29" s="21">
        <v>0.7</v>
      </c>
      <c r="J29" s="5" t="s">
        <v>53</v>
      </c>
      <c r="K29" s="5" t="s">
        <v>54</v>
      </c>
      <c r="L29" s="4">
        <v>26</v>
      </c>
      <c r="M29" s="98">
        <v>3</v>
      </c>
      <c r="N29" s="98">
        <v>0</v>
      </c>
      <c r="O29" s="98">
        <v>0</v>
      </c>
      <c r="P29" s="98">
        <v>0</v>
      </c>
      <c r="Q29" s="101">
        <v>0</v>
      </c>
      <c r="R29" s="43">
        <v>10</v>
      </c>
      <c r="S29" s="5">
        <f t="shared" si="0"/>
        <v>135</v>
      </c>
      <c r="T29" s="98">
        <f t="shared" si="3"/>
        <v>14625</v>
      </c>
      <c r="U29" s="5">
        <f t="shared" si="1"/>
        <v>145</v>
      </c>
      <c r="V29" s="38">
        <f t="shared" si="2"/>
        <v>120</v>
      </c>
      <c r="W29" s="15"/>
    </row>
    <row r="30" spans="1:23" x14ac:dyDescent="0.3">
      <c r="A30" s="43">
        <v>1027</v>
      </c>
      <c r="B30" s="14" t="s">
        <v>51</v>
      </c>
      <c r="C30" s="98" t="s">
        <v>80</v>
      </c>
      <c r="D30" s="44">
        <v>3</v>
      </c>
      <c r="E30" s="53" t="b">
        <v>0</v>
      </c>
      <c r="F30" s="108">
        <v>3</v>
      </c>
      <c r="G30" s="5" t="s">
        <v>46</v>
      </c>
      <c r="H30" s="21">
        <v>1</v>
      </c>
      <c r="I30" s="21">
        <v>0.7</v>
      </c>
      <c r="J30" s="5" t="s">
        <v>53</v>
      </c>
      <c r="K30" s="5" t="s">
        <v>54</v>
      </c>
      <c r="L30" s="4">
        <v>27</v>
      </c>
      <c r="M30" s="98">
        <v>3</v>
      </c>
      <c r="N30" s="98">
        <v>0</v>
      </c>
      <c r="O30" s="98">
        <v>0</v>
      </c>
      <c r="P30" s="98">
        <v>0</v>
      </c>
      <c r="Q30" s="101">
        <v>0</v>
      </c>
      <c r="R30" s="43">
        <v>10</v>
      </c>
      <c r="S30" s="5">
        <f t="shared" si="0"/>
        <v>140</v>
      </c>
      <c r="T30" s="98">
        <f t="shared" si="3"/>
        <v>16425</v>
      </c>
      <c r="U30" s="5">
        <f t="shared" si="1"/>
        <v>155</v>
      </c>
      <c r="V30" s="38">
        <f t="shared" si="2"/>
        <v>125</v>
      </c>
      <c r="W30" s="15"/>
    </row>
    <row r="31" spans="1:23" x14ac:dyDescent="0.3">
      <c r="A31" s="43">
        <v>1028</v>
      </c>
      <c r="B31" s="14" t="s">
        <v>51</v>
      </c>
      <c r="C31" s="98" t="s">
        <v>81</v>
      </c>
      <c r="D31" s="44">
        <v>3</v>
      </c>
      <c r="E31" s="53" t="b">
        <v>0</v>
      </c>
      <c r="F31" s="108">
        <v>3</v>
      </c>
      <c r="G31" s="5" t="s">
        <v>46</v>
      </c>
      <c r="H31" s="21">
        <v>1</v>
      </c>
      <c r="I31" s="21">
        <v>0.7</v>
      </c>
      <c r="J31" s="5" t="s">
        <v>53</v>
      </c>
      <c r="K31" s="5" t="s">
        <v>54</v>
      </c>
      <c r="L31" s="4">
        <v>28</v>
      </c>
      <c r="M31" s="98">
        <v>3</v>
      </c>
      <c r="N31" s="98">
        <v>0</v>
      </c>
      <c r="O31" s="98">
        <v>0</v>
      </c>
      <c r="P31" s="98">
        <v>0</v>
      </c>
      <c r="Q31" s="101">
        <v>0</v>
      </c>
      <c r="R31" s="43">
        <v>10</v>
      </c>
      <c r="S31" s="5">
        <f t="shared" si="0"/>
        <v>145</v>
      </c>
      <c r="T31" s="98">
        <f t="shared" si="3"/>
        <v>18380</v>
      </c>
      <c r="U31" s="5">
        <f t="shared" si="1"/>
        <v>160</v>
      </c>
      <c r="V31" s="38">
        <f t="shared" si="2"/>
        <v>135</v>
      </c>
      <c r="W31" s="15"/>
    </row>
    <row r="32" spans="1:23" x14ac:dyDescent="0.3">
      <c r="A32" s="43">
        <v>1029</v>
      </c>
      <c r="B32" s="14" t="s">
        <v>51</v>
      </c>
      <c r="C32" s="98" t="s">
        <v>82</v>
      </c>
      <c r="D32" s="44">
        <v>3</v>
      </c>
      <c r="E32" s="53" t="b">
        <v>0</v>
      </c>
      <c r="F32" s="108">
        <v>3</v>
      </c>
      <c r="G32" s="5" t="s">
        <v>46</v>
      </c>
      <c r="H32" s="21">
        <v>1</v>
      </c>
      <c r="I32" s="21">
        <v>0.7</v>
      </c>
      <c r="J32" s="5" t="s">
        <v>53</v>
      </c>
      <c r="K32" s="5" t="s">
        <v>54</v>
      </c>
      <c r="L32" s="4">
        <v>29</v>
      </c>
      <c r="M32" s="98">
        <v>3</v>
      </c>
      <c r="N32" s="98">
        <v>0</v>
      </c>
      <c r="O32" s="98">
        <v>0</v>
      </c>
      <c r="P32" s="98">
        <v>0</v>
      </c>
      <c r="Q32" s="101">
        <v>0</v>
      </c>
      <c r="R32" s="43">
        <v>10</v>
      </c>
      <c r="S32" s="5">
        <f t="shared" si="0"/>
        <v>145</v>
      </c>
      <c r="T32" s="98">
        <f t="shared" si="3"/>
        <v>20485</v>
      </c>
      <c r="U32" s="5">
        <f t="shared" si="1"/>
        <v>170</v>
      </c>
      <c r="V32" s="38">
        <f t="shared" si="2"/>
        <v>140</v>
      </c>
      <c r="W32" s="15"/>
    </row>
    <row r="33" spans="1:23" x14ac:dyDescent="0.3">
      <c r="A33" s="43">
        <v>1030</v>
      </c>
      <c r="B33" s="14" t="s">
        <v>51</v>
      </c>
      <c r="C33" s="98" t="s">
        <v>83</v>
      </c>
      <c r="D33" s="44">
        <v>3</v>
      </c>
      <c r="E33" s="53" t="b">
        <v>0</v>
      </c>
      <c r="F33" s="108">
        <v>3</v>
      </c>
      <c r="G33" s="5" t="s">
        <v>46</v>
      </c>
      <c r="H33" s="21">
        <v>1</v>
      </c>
      <c r="I33" s="21">
        <v>0.7</v>
      </c>
      <c r="J33" s="5" t="s">
        <v>53</v>
      </c>
      <c r="K33" s="5" t="s">
        <v>54</v>
      </c>
      <c r="L33" s="4">
        <v>30</v>
      </c>
      <c r="M33" s="98">
        <v>3</v>
      </c>
      <c r="N33" s="98">
        <v>0</v>
      </c>
      <c r="O33" s="98">
        <v>0</v>
      </c>
      <c r="P33" s="98">
        <v>0</v>
      </c>
      <c r="Q33" s="101">
        <v>0</v>
      </c>
      <c r="R33" s="43">
        <v>10</v>
      </c>
      <c r="S33" s="5">
        <f t="shared" si="0"/>
        <v>150</v>
      </c>
      <c r="T33" s="98">
        <f t="shared" si="3"/>
        <v>22755</v>
      </c>
      <c r="U33" s="5">
        <f t="shared" si="1"/>
        <v>175</v>
      </c>
      <c r="V33" s="38">
        <f t="shared" si="2"/>
        <v>145</v>
      </c>
      <c r="W33" s="15"/>
    </row>
    <row r="34" spans="1:23" x14ac:dyDescent="0.3">
      <c r="A34" s="43">
        <v>1031</v>
      </c>
      <c r="B34" s="14" t="s">
        <v>51</v>
      </c>
      <c r="C34" s="98" t="s">
        <v>84</v>
      </c>
      <c r="D34" s="44">
        <v>3</v>
      </c>
      <c r="E34" s="53" t="b">
        <v>0</v>
      </c>
      <c r="F34" s="108">
        <v>3</v>
      </c>
      <c r="G34" s="5" t="s">
        <v>46</v>
      </c>
      <c r="H34" s="21">
        <v>1</v>
      </c>
      <c r="I34" s="21">
        <v>0.7</v>
      </c>
      <c r="J34" s="5" t="s">
        <v>53</v>
      </c>
      <c r="K34" s="5" t="s">
        <v>54</v>
      </c>
      <c r="L34" s="4">
        <v>31</v>
      </c>
      <c r="M34" s="98">
        <v>3</v>
      </c>
      <c r="N34" s="98">
        <v>0</v>
      </c>
      <c r="O34" s="98">
        <v>0</v>
      </c>
      <c r="P34" s="98">
        <v>0</v>
      </c>
      <c r="Q34" s="101">
        <v>0</v>
      </c>
      <c r="R34" s="43">
        <v>10</v>
      </c>
      <c r="S34" s="5">
        <f t="shared" si="0"/>
        <v>155</v>
      </c>
      <c r="T34" s="98">
        <f t="shared" si="3"/>
        <v>25190</v>
      </c>
      <c r="U34" s="5">
        <f t="shared" si="1"/>
        <v>185</v>
      </c>
      <c r="V34" s="38">
        <f t="shared" si="2"/>
        <v>155</v>
      </c>
      <c r="W34" s="15"/>
    </row>
    <row r="35" spans="1:23" x14ac:dyDescent="0.3">
      <c r="A35" s="43">
        <v>1032</v>
      </c>
      <c r="B35" s="14" t="s">
        <v>51</v>
      </c>
      <c r="C35" s="98" t="s">
        <v>85</v>
      </c>
      <c r="D35" s="44">
        <v>3</v>
      </c>
      <c r="E35" s="53" t="b">
        <v>0</v>
      </c>
      <c r="F35" s="108">
        <v>3</v>
      </c>
      <c r="G35" s="5" t="s">
        <v>46</v>
      </c>
      <c r="H35" s="21">
        <v>1</v>
      </c>
      <c r="I35" s="21">
        <v>0.7</v>
      </c>
      <c r="J35" s="5" t="s">
        <v>53</v>
      </c>
      <c r="K35" s="5" t="s">
        <v>54</v>
      </c>
      <c r="L35" s="4">
        <v>32</v>
      </c>
      <c r="M35" s="98">
        <v>3</v>
      </c>
      <c r="N35" s="98">
        <v>0</v>
      </c>
      <c r="O35" s="98">
        <v>0</v>
      </c>
      <c r="P35" s="98">
        <v>0</v>
      </c>
      <c r="Q35" s="101">
        <v>0</v>
      </c>
      <c r="R35" s="43">
        <v>10</v>
      </c>
      <c r="S35" s="5">
        <f t="shared" si="0"/>
        <v>160</v>
      </c>
      <c r="T35" s="98">
        <f t="shared" si="3"/>
        <v>27800</v>
      </c>
      <c r="U35" s="5">
        <f t="shared" si="1"/>
        <v>195</v>
      </c>
      <c r="V35" s="38">
        <f t="shared" si="2"/>
        <v>160</v>
      </c>
      <c r="W35" s="15"/>
    </row>
    <row r="36" spans="1:23" x14ac:dyDescent="0.3">
      <c r="A36" s="43">
        <v>1033</v>
      </c>
      <c r="B36" s="14" t="s">
        <v>51</v>
      </c>
      <c r="C36" s="98" t="s">
        <v>86</v>
      </c>
      <c r="D36" s="44">
        <v>3</v>
      </c>
      <c r="E36" s="53" t="b">
        <v>0</v>
      </c>
      <c r="F36" s="108">
        <v>3</v>
      </c>
      <c r="G36" s="5" t="s">
        <v>46</v>
      </c>
      <c r="H36" s="21">
        <v>1</v>
      </c>
      <c r="I36" s="21">
        <v>0.7</v>
      </c>
      <c r="J36" s="5" t="s">
        <v>53</v>
      </c>
      <c r="K36" s="5" t="s">
        <v>54</v>
      </c>
      <c r="L36" s="4">
        <v>33</v>
      </c>
      <c r="M36" s="98">
        <v>3</v>
      </c>
      <c r="N36" s="98">
        <v>0</v>
      </c>
      <c r="O36" s="98">
        <v>0</v>
      </c>
      <c r="P36" s="98">
        <v>0</v>
      </c>
      <c r="Q36" s="101">
        <v>0</v>
      </c>
      <c r="R36" s="43">
        <v>10</v>
      </c>
      <c r="S36" s="5">
        <f t="shared" si="0"/>
        <v>160</v>
      </c>
      <c r="T36" s="98">
        <f t="shared" si="3"/>
        <v>30595</v>
      </c>
      <c r="U36" s="5">
        <f t="shared" si="1"/>
        <v>200</v>
      </c>
      <c r="V36" s="38">
        <f t="shared" si="2"/>
        <v>165</v>
      </c>
      <c r="W36" s="15"/>
    </row>
    <row r="37" spans="1:23" ht="17.25" customHeight="1" thickBot="1" x14ac:dyDescent="0.35">
      <c r="A37" s="45">
        <v>1034</v>
      </c>
      <c r="B37" s="23" t="s">
        <v>51</v>
      </c>
      <c r="C37" s="10" t="s">
        <v>87</v>
      </c>
      <c r="D37" s="46">
        <v>3</v>
      </c>
      <c r="E37" s="54" t="b">
        <v>1</v>
      </c>
      <c r="F37" s="84">
        <v>3</v>
      </c>
      <c r="G37" s="47" t="s">
        <v>46</v>
      </c>
      <c r="H37" s="48">
        <v>1</v>
      </c>
      <c r="I37" s="48">
        <v>0.7</v>
      </c>
      <c r="J37" s="47" t="s">
        <v>53</v>
      </c>
      <c r="K37" s="47" t="s">
        <v>54</v>
      </c>
      <c r="L37" s="39">
        <v>34</v>
      </c>
      <c r="M37" s="10">
        <v>4</v>
      </c>
      <c r="N37" s="10">
        <v>0</v>
      </c>
      <c r="O37" s="10">
        <v>0</v>
      </c>
      <c r="P37" s="10">
        <v>0</v>
      </c>
      <c r="Q37" s="40">
        <v>0</v>
      </c>
      <c r="R37" s="45">
        <v>10</v>
      </c>
      <c r="S37" s="10">
        <f t="shared" si="0"/>
        <v>165</v>
      </c>
      <c r="T37" s="10">
        <f t="shared" si="3"/>
        <v>33570</v>
      </c>
      <c r="U37" s="10">
        <f t="shared" si="1"/>
        <v>210</v>
      </c>
      <c r="V37" s="40">
        <f t="shared" si="2"/>
        <v>175</v>
      </c>
      <c r="W37" s="15"/>
    </row>
    <row r="38" spans="1:23" x14ac:dyDescent="0.3">
      <c r="A38" s="37">
        <v>10001</v>
      </c>
      <c r="B38" s="133" t="s">
        <v>88</v>
      </c>
      <c r="C38" s="5" t="s">
        <v>45</v>
      </c>
      <c r="D38" s="20">
        <v>3</v>
      </c>
      <c r="E38" s="5" t="b">
        <v>0</v>
      </c>
      <c r="F38" s="5">
        <v>10</v>
      </c>
      <c r="G38" s="5" t="s">
        <v>46</v>
      </c>
      <c r="H38" s="21">
        <v>2</v>
      </c>
      <c r="I38" s="21">
        <v>0.3</v>
      </c>
      <c r="J38" s="5" t="s">
        <v>89</v>
      </c>
      <c r="K38" s="5" t="s">
        <v>54</v>
      </c>
      <c r="L38" s="5"/>
      <c r="M38" s="5">
        <v>0</v>
      </c>
      <c r="N38" s="5">
        <v>0</v>
      </c>
      <c r="O38" s="5">
        <v>0</v>
      </c>
      <c r="P38" s="5">
        <v>0</v>
      </c>
      <c r="Q38" s="38">
        <v>0</v>
      </c>
      <c r="R38" s="85">
        <v>5</v>
      </c>
      <c r="S38" s="5">
        <f>CEILING(35+((A38-10000)^ 1.1), 5)</f>
        <v>40</v>
      </c>
      <c r="T38" s="5">
        <v>450</v>
      </c>
      <c r="U38" s="5">
        <f>CEILING(((A38-10000)^ 1.05), 5)</f>
        <v>5</v>
      </c>
      <c r="V38" s="38">
        <v>0</v>
      </c>
      <c r="W38" s="15"/>
    </row>
    <row r="39" spans="1:23" ht="17.100000000000001" customHeight="1" x14ac:dyDescent="0.3">
      <c r="A39" s="139">
        <v>10002</v>
      </c>
      <c r="B39" s="135" t="s">
        <v>88</v>
      </c>
      <c r="C39" s="134" t="s">
        <v>90</v>
      </c>
      <c r="D39" s="134">
        <v>3</v>
      </c>
      <c r="E39" s="134" t="b">
        <v>0</v>
      </c>
      <c r="F39" s="134">
        <v>65</v>
      </c>
      <c r="G39" s="134" t="s">
        <v>46</v>
      </c>
      <c r="H39" s="137">
        <v>1</v>
      </c>
      <c r="I39" s="137">
        <v>0.7</v>
      </c>
      <c r="J39" s="134" t="s">
        <v>91</v>
      </c>
      <c r="K39" s="134" t="s">
        <v>54</v>
      </c>
      <c r="L39" s="134"/>
      <c r="M39" s="134">
        <v>0</v>
      </c>
      <c r="N39" s="134">
        <v>0</v>
      </c>
      <c r="O39" s="134">
        <v>0</v>
      </c>
      <c r="P39" s="134">
        <v>0</v>
      </c>
      <c r="Q39" s="140">
        <v>0</v>
      </c>
      <c r="R39" s="139">
        <v>5</v>
      </c>
      <c r="S39" s="134">
        <v>50</v>
      </c>
      <c r="T39" s="134">
        <v>500</v>
      </c>
      <c r="U39" s="134">
        <v>5</v>
      </c>
      <c r="V39" s="140">
        <v>0</v>
      </c>
      <c r="W39" s="15"/>
    </row>
    <row r="40" spans="1:23" ht="17.100000000000001" customHeight="1" x14ac:dyDescent="0.3">
      <c r="A40" s="139">
        <v>10003</v>
      </c>
      <c r="B40" s="135" t="s">
        <v>88</v>
      </c>
      <c r="C40" s="134" t="s">
        <v>92</v>
      </c>
      <c r="D40" s="134">
        <v>3</v>
      </c>
      <c r="E40" s="134" t="b">
        <v>0</v>
      </c>
      <c r="F40" s="134">
        <v>60</v>
      </c>
      <c r="G40" s="134" t="s">
        <v>46</v>
      </c>
      <c r="H40" s="137">
        <v>1</v>
      </c>
      <c r="I40" s="137">
        <v>0.7</v>
      </c>
      <c r="J40" s="134" t="s">
        <v>93</v>
      </c>
      <c r="K40" s="134" t="s">
        <v>54</v>
      </c>
      <c r="L40" s="134"/>
      <c r="M40" s="134">
        <v>0</v>
      </c>
      <c r="N40" s="134">
        <v>0</v>
      </c>
      <c r="O40" s="134">
        <v>0</v>
      </c>
      <c r="P40" s="134">
        <v>0</v>
      </c>
      <c r="Q40" s="140">
        <v>0</v>
      </c>
      <c r="R40" s="139">
        <v>5</v>
      </c>
      <c r="S40" s="134">
        <v>50</v>
      </c>
      <c r="T40" s="134">
        <v>500</v>
      </c>
      <c r="U40" s="134">
        <v>5</v>
      </c>
      <c r="V40" s="140">
        <v>0</v>
      </c>
      <c r="W40" s="15"/>
    </row>
    <row r="41" spans="1:23" ht="17.100000000000001" customHeight="1" x14ac:dyDescent="0.3">
      <c r="A41" s="139">
        <v>10004</v>
      </c>
      <c r="B41" s="135" t="s">
        <v>88</v>
      </c>
      <c r="C41" s="134" t="s">
        <v>94</v>
      </c>
      <c r="D41" s="134">
        <v>3</v>
      </c>
      <c r="E41" s="134" t="b">
        <v>0</v>
      </c>
      <c r="F41" s="134">
        <v>60</v>
      </c>
      <c r="G41" s="134" t="s">
        <v>46</v>
      </c>
      <c r="H41" s="137">
        <v>1</v>
      </c>
      <c r="I41" s="137">
        <v>0.7</v>
      </c>
      <c r="J41" s="134" t="s">
        <v>93</v>
      </c>
      <c r="K41" s="134" t="s">
        <v>54</v>
      </c>
      <c r="L41" s="134"/>
      <c r="M41" s="134">
        <v>0</v>
      </c>
      <c r="N41" s="134">
        <v>0</v>
      </c>
      <c r="O41" s="134">
        <v>0</v>
      </c>
      <c r="P41" s="134">
        <v>0</v>
      </c>
      <c r="Q41" s="140">
        <v>0</v>
      </c>
      <c r="R41" s="139">
        <v>5</v>
      </c>
      <c r="S41" s="134">
        <v>50</v>
      </c>
      <c r="T41" s="134">
        <v>500</v>
      </c>
      <c r="U41" s="134">
        <v>5</v>
      </c>
      <c r="V41" s="140">
        <v>0</v>
      </c>
      <c r="W41" s="15"/>
    </row>
    <row r="42" spans="1:23" ht="17.100000000000001" customHeight="1" x14ac:dyDescent="0.3">
      <c r="A42" s="139">
        <v>10005</v>
      </c>
      <c r="B42" s="135" t="s">
        <v>88</v>
      </c>
      <c r="C42" s="134" t="s">
        <v>95</v>
      </c>
      <c r="D42" s="134">
        <v>3</v>
      </c>
      <c r="E42" s="134" t="b">
        <v>0</v>
      </c>
      <c r="F42" s="134">
        <v>70</v>
      </c>
      <c r="G42" s="134" t="s">
        <v>46</v>
      </c>
      <c r="H42" s="137">
        <v>1</v>
      </c>
      <c r="I42" s="137">
        <v>0.6</v>
      </c>
      <c r="J42" s="134" t="s">
        <v>96</v>
      </c>
      <c r="K42" s="134" t="s">
        <v>54</v>
      </c>
      <c r="L42" s="134"/>
      <c r="M42" s="134">
        <v>0</v>
      </c>
      <c r="N42" s="134">
        <v>0</v>
      </c>
      <c r="O42" s="134">
        <v>0</v>
      </c>
      <c r="P42" s="134">
        <v>0</v>
      </c>
      <c r="Q42" s="140">
        <v>0</v>
      </c>
      <c r="R42" s="139">
        <v>5</v>
      </c>
      <c r="S42" s="134">
        <v>50</v>
      </c>
      <c r="T42" s="134">
        <v>500</v>
      </c>
      <c r="U42" s="134">
        <v>5</v>
      </c>
      <c r="V42" s="140">
        <v>0</v>
      </c>
      <c r="W42" s="15"/>
    </row>
    <row r="43" spans="1:23" ht="17.100000000000001" customHeight="1" x14ac:dyDescent="0.3">
      <c r="A43" s="139">
        <v>10006</v>
      </c>
      <c r="B43" s="135" t="s">
        <v>88</v>
      </c>
      <c r="C43" s="134" t="s">
        <v>97</v>
      </c>
      <c r="D43" s="134">
        <v>3</v>
      </c>
      <c r="E43" s="134" t="b">
        <v>0</v>
      </c>
      <c r="F43" s="134">
        <v>60</v>
      </c>
      <c r="G43" s="134" t="s">
        <v>46</v>
      </c>
      <c r="H43" s="137">
        <v>1</v>
      </c>
      <c r="I43" s="137">
        <v>0.7</v>
      </c>
      <c r="J43" s="134" t="s">
        <v>93</v>
      </c>
      <c r="K43" s="134" t="s">
        <v>54</v>
      </c>
      <c r="L43" s="134"/>
      <c r="M43" s="134">
        <v>0</v>
      </c>
      <c r="N43" s="134">
        <v>0</v>
      </c>
      <c r="O43" s="134">
        <v>0</v>
      </c>
      <c r="P43" s="134">
        <v>0</v>
      </c>
      <c r="Q43" s="140">
        <v>0</v>
      </c>
      <c r="R43" s="139">
        <v>5</v>
      </c>
      <c r="S43" s="134">
        <v>50</v>
      </c>
      <c r="T43" s="134">
        <v>500</v>
      </c>
      <c r="U43" s="134">
        <v>5</v>
      </c>
      <c r="V43" s="140">
        <v>0</v>
      </c>
      <c r="W43" s="15"/>
    </row>
    <row r="44" spans="1:23" ht="17.100000000000001" customHeight="1" x14ac:dyDescent="0.3">
      <c r="A44" s="139">
        <v>10007</v>
      </c>
      <c r="B44" s="135" t="s">
        <v>88</v>
      </c>
      <c r="C44" s="134" t="s">
        <v>98</v>
      </c>
      <c r="D44" s="134">
        <v>3</v>
      </c>
      <c r="E44" s="134" t="b">
        <v>0</v>
      </c>
      <c r="F44" s="134">
        <v>50</v>
      </c>
      <c r="G44" s="134" t="s">
        <v>46</v>
      </c>
      <c r="H44" s="137">
        <v>1</v>
      </c>
      <c r="I44" s="137">
        <v>0.7</v>
      </c>
      <c r="J44" s="134" t="s">
        <v>99</v>
      </c>
      <c r="K44" s="134" t="s">
        <v>54</v>
      </c>
      <c r="L44" s="134"/>
      <c r="M44" s="134">
        <v>0</v>
      </c>
      <c r="N44" s="134">
        <v>0</v>
      </c>
      <c r="O44" s="134">
        <v>0</v>
      </c>
      <c r="P44" s="134">
        <v>0</v>
      </c>
      <c r="Q44" s="140">
        <v>0</v>
      </c>
      <c r="R44" s="139">
        <v>5</v>
      </c>
      <c r="S44" s="134">
        <v>50</v>
      </c>
      <c r="T44" s="134">
        <v>500</v>
      </c>
      <c r="U44" s="134">
        <v>5</v>
      </c>
      <c r="V44" s="140">
        <v>0</v>
      </c>
      <c r="W44" s="15"/>
    </row>
    <row r="45" spans="1:23" ht="17.100000000000001" customHeight="1" x14ac:dyDescent="0.3">
      <c r="A45" s="139">
        <v>10008</v>
      </c>
      <c r="B45" s="135" t="s">
        <v>88</v>
      </c>
      <c r="C45" s="134" t="s">
        <v>100</v>
      </c>
      <c r="D45" s="134">
        <v>3</v>
      </c>
      <c r="E45" s="134" t="b">
        <v>0</v>
      </c>
      <c r="F45" s="134">
        <v>115</v>
      </c>
      <c r="G45" s="134" t="s">
        <v>46</v>
      </c>
      <c r="H45" s="137">
        <v>2</v>
      </c>
      <c r="I45" s="137">
        <v>0.5</v>
      </c>
      <c r="J45" s="134" t="s">
        <v>101</v>
      </c>
      <c r="K45" s="134" t="s">
        <v>102</v>
      </c>
      <c r="L45" s="134"/>
      <c r="M45" s="134">
        <v>0</v>
      </c>
      <c r="N45" s="134">
        <v>0</v>
      </c>
      <c r="O45" s="134">
        <v>0</v>
      </c>
      <c r="P45" s="134">
        <v>0</v>
      </c>
      <c r="Q45" s="140">
        <v>0</v>
      </c>
      <c r="R45" s="139">
        <v>5</v>
      </c>
      <c r="S45" s="134">
        <v>80</v>
      </c>
      <c r="T45" s="134">
        <v>1000</v>
      </c>
      <c r="U45" s="134">
        <v>10</v>
      </c>
      <c r="V45" s="140">
        <v>0</v>
      </c>
      <c r="W45" s="15"/>
    </row>
    <row r="46" spans="1:23" ht="17.100000000000001" customHeight="1" x14ac:dyDescent="0.3">
      <c r="A46" s="139">
        <v>10009</v>
      </c>
      <c r="B46" s="135" t="s">
        <v>88</v>
      </c>
      <c r="C46" s="134" t="s">
        <v>103</v>
      </c>
      <c r="D46" s="134">
        <v>3</v>
      </c>
      <c r="E46" s="134" t="b">
        <v>0</v>
      </c>
      <c r="F46" s="134">
        <v>90</v>
      </c>
      <c r="G46" s="134" t="s">
        <v>46</v>
      </c>
      <c r="H46" s="137">
        <v>2</v>
      </c>
      <c r="I46" s="137">
        <v>0.6</v>
      </c>
      <c r="J46" s="134" t="s">
        <v>104</v>
      </c>
      <c r="K46" s="134" t="s">
        <v>102</v>
      </c>
      <c r="L46" s="134"/>
      <c r="M46" s="134">
        <v>0</v>
      </c>
      <c r="N46" s="134">
        <v>0</v>
      </c>
      <c r="O46" s="134">
        <v>0</v>
      </c>
      <c r="P46" s="134">
        <v>0</v>
      </c>
      <c r="Q46" s="140">
        <v>0</v>
      </c>
      <c r="R46" s="139">
        <v>5</v>
      </c>
      <c r="S46" s="134">
        <v>80</v>
      </c>
      <c r="T46" s="134">
        <v>1000</v>
      </c>
      <c r="U46" s="134">
        <v>10</v>
      </c>
      <c r="V46" s="140">
        <v>0</v>
      </c>
      <c r="W46" s="15"/>
    </row>
    <row r="47" spans="1:23" ht="17.100000000000001" customHeight="1" x14ac:dyDescent="0.3">
      <c r="A47" s="139">
        <v>10010</v>
      </c>
      <c r="B47" s="135" t="s">
        <v>88</v>
      </c>
      <c r="C47" s="134" t="s">
        <v>105</v>
      </c>
      <c r="D47" s="134">
        <v>3</v>
      </c>
      <c r="E47" s="134" t="b">
        <v>0</v>
      </c>
      <c r="F47" s="134">
        <v>55</v>
      </c>
      <c r="G47" s="134" t="s">
        <v>46</v>
      </c>
      <c r="H47" s="137">
        <v>1</v>
      </c>
      <c r="I47" s="137">
        <v>0.7</v>
      </c>
      <c r="J47" s="134" t="s">
        <v>106</v>
      </c>
      <c r="K47" s="134" t="s">
        <v>54</v>
      </c>
      <c r="L47" s="134"/>
      <c r="M47" s="134">
        <v>0</v>
      </c>
      <c r="N47" s="134">
        <v>0</v>
      </c>
      <c r="O47" s="134">
        <v>0</v>
      </c>
      <c r="P47" s="134">
        <v>0</v>
      </c>
      <c r="Q47" s="140">
        <v>0</v>
      </c>
      <c r="R47" s="139">
        <v>5</v>
      </c>
      <c r="S47" s="134">
        <v>50</v>
      </c>
      <c r="T47" s="134">
        <v>500</v>
      </c>
      <c r="U47" s="134">
        <v>5</v>
      </c>
      <c r="V47" s="140">
        <v>0</v>
      </c>
      <c r="W47" s="15"/>
    </row>
    <row r="48" spans="1:23" ht="17.100000000000001" customHeight="1" x14ac:dyDescent="0.3">
      <c r="A48" s="139">
        <v>10011</v>
      </c>
      <c r="B48" s="135" t="s">
        <v>88</v>
      </c>
      <c r="C48" s="134" t="s">
        <v>107</v>
      </c>
      <c r="D48" s="134">
        <v>3</v>
      </c>
      <c r="E48" s="134" t="b">
        <v>0</v>
      </c>
      <c r="F48" s="134">
        <v>70</v>
      </c>
      <c r="G48" s="134" t="s">
        <v>46</v>
      </c>
      <c r="H48" s="137">
        <v>1</v>
      </c>
      <c r="I48" s="137">
        <v>0.6</v>
      </c>
      <c r="J48" s="134" t="s">
        <v>96</v>
      </c>
      <c r="K48" s="134" t="s">
        <v>54</v>
      </c>
      <c r="L48" s="134"/>
      <c r="M48" s="134">
        <v>0</v>
      </c>
      <c r="N48" s="134">
        <v>0</v>
      </c>
      <c r="O48" s="134">
        <v>0</v>
      </c>
      <c r="P48" s="134">
        <v>0</v>
      </c>
      <c r="Q48" s="140">
        <v>0</v>
      </c>
      <c r="R48" s="139">
        <v>5</v>
      </c>
      <c r="S48" s="134">
        <v>50</v>
      </c>
      <c r="T48" s="134">
        <v>500</v>
      </c>
      <c r="U48" s="134">
        <v>5</v>
      </c>
      <c r="V48" s="140">
        <v>0</v>
      </c>
      <c r="W48" s="15"/>
    </row>
    <row r="49" spans="1:23" ht="17.100000000000001" customHeight="1" x14ac:dyDescent="0.3">
      <c r="A49" s="139">
        <v>10012</v>
      </c>
      <c r="B49" s="135" t="s">
        <v>88</v>
      </c>
      <c r="C49" s="134" t="s">
        <v>108</v>
      </c>
      <c r="D49" s="134">
        <v>3</v>
      </c>
      <c r="E49" s="134" t="b">
        <v>0</v>
      </c>
      <c r="F49" s="134">
        <v>175</v>
      </c>
      <c r="G49" s="134" t="s">
        <v>46</v>
      </c>
      <c r="H49" s="137">
        <v>3</v>
      </c>
      <c r="I49" s="137">
        <v>0.3</v>
      </c>
      <c r="J49" s="134" t="s">
        <v>109</v>
      </c>
      <c r="K49" s="134" t="s">
        <v>110</v>
      </c>
      <c r="L49" s="134"/>
      <c r="M49" s="134">
        <v>0</v>
      </c>
      <c r="N49" s="134">
        <v>0</v>
      </c>
      <c r="O49" s="134">
        <v>0</v>
      </c>
      <c r="P49" s="134">
        <v>0</v>
      </c>
      <c r="Q49" s="140">
        <v>0</v>
      </c>
      <c r="R49" s="139">
        <v>5</v>
      </c>
      <c r="S49" s="134">
        <v>230</v>
      </c>
      <c r="T49" s="134">
        <v>5500</v>
      </c>
      <c r="U49" s="134">
        <v>40</v>
      </c>
      <c r="V49" s="140">
        <v>20</v>
      </c>
      <c r="W49" s="15"/>
    </row>
    <row r="50" spans="1:23" ht="17.100000000000001" customHeight="1" x14ac:dyDescent="0.3">
      <c r="A50" s="139">
        <v>10013</v>
      </c>
      <c r="B50" s="135" t="s">
        <v>88</v>
      </c>
      <c r="C50" s="134" t="s">
        <v>111</v>
      </c>
      <c r="D50" s="134">
        <v>3</v>
      </c>
      <c r="E50" s="134" t="b">
        <v>0</v>
      </c>
      <c r="F50" s="134">
        <v>145</v>
      </c>
      <c r="G50" s="134" t="s">
        <v>46</v>
      </c>
      <c r="H50" s="136" t="s">
        <v>112</v>
      </c>
      <c r="I50" s="137">
        <v>0.4</v>
      </c>
      <c r="J50" s="134" t="s">
        <v>113</v>
      </c>
      <c r="K50" s="134" t="s">
        <v>102</v>
      </c>
      <c r="L50" s="134"/>
      <c r="M50" s="134">
        <v>0</v>
      </c>
      <c r="N50" s="134">
        <v>0</v>
      </c>
      <c r="O50" s="134">
        <v>0</v>
      </c>
      <c r="P50" s="134">
        <v>0</v>
      </c>
      <c r="Q50" s="140">
        <v>0</v>
      </c>
      <c r="R50" s="139">
        <v>5</v>
      </c>
      <c r="S50" s="134">
        <v>120</v>
      </c>
      <c r="T50" s="134">
        <v>2000</v>
      </c>
      <c r="U50" s="134">
        <v>15</v>
      </c>
      <c r="V50" s="140">
        <v>5</v>
      </c>
      <c r="W50" s="15"/>
    </row>
    <row r="51" spans="1:23" ht="17.100000000000001" customHeight="1" x14ac:dyDescent="0.3">
      <c r="A51" s="139">
        <v>10014</v>
      </c>
      <c r="B51" s="135" t="s">
        <v>88</v>
      </c>
      <c r="C51" s="134" t="s">
        <v>114</v>
      </c>
      <c r="D51" s="134">
        <v>3</v>
      </c>
      <c r="E51" s="134" t="b">
        <v>0</v>
      </c>
      <c r="F51" s="134">
        <v>80</v>
      </c>
      <c r="G51" s="134" t="s">
        <v>46</v>
      </c>
      <c r="H51" s="137">
        <v>2</v>
      </c>
      <c r="I51" s="137">
        <v>0.6</v>
      </c>
      <c r="J51" s="134" t="s">
        <v>115</v>
      </c>
      <c r="K51" s="134" t="s">
        <v>54</v>
      </c>
      <c r="L51" s="134"/>
      <c r="M51" s="134">
        <v>0</v>
      </c>
      <c r="N51" s="134">
        <v>0</v>
      </c>
      <c r="O51" s="134">
        <v>0</v>
      </c>
      <c r="P51" s="134">
        <v>0</v>
      </c>
      <c r="Q51" s="140">
        <v>0</v>
      </c>
      <c r="R51" s="139">
        <v>5</v>
      </c>
      <c r="S51" s="134">
        <v>80</v>
      </c>
      <c r="T51" s="134">
        <v>1000</v>
      </c>
      <c r="U51" s="134">
        <v>10</v>
      </c>
      <c r="V51" s="140">
        <v>0</v>
      </c>
      <c r="W51" s="15"/>
    </row>
    <row r="52" spans="1:23" ht="17.100000000000001" customHeight="1" x14ac:dyDescent="0.3">
      <c r="A52" s="139">
        <v>10015</v>
      </c>
      <c r="B52" s="135" t="s">
        <v>88</v>
      </c>
      <c r="C52" s="134" t="s">
        <v>116</v>
      </c>
      <c r="D52" s="134">
        <v>3</v>
      </c>
      <c r="E52" s="134" t="b">
        <v>0</v>
      </c>
      <c r="F52" s="134">
        <v>65</v>
      </c>
      <c r="G52" s="134" t="s">
        <v>46</v>
      </c>
      <c r="H52" s="137">
        <v>1</v>
      </c>
      <c r="I52" s="137">
        <v>0.6</v>
      </c>
      <c r="J52" s="134" t="s">
        <v>91</v>
      </c>
      <c r="K52" s="134" t="s">
        <v>54</v>
      </c>
      <c r="L52" s="134"/>
      <c r="M52" s="134">
        <v>0</v>
      </c>
      <c r="N52" s="134">
        <v>0</v>
      </c>
      <c r="O52" s="134">
        <v>0</v>
      </c>
      <c r="P52" s="134">
        <v>0</v>
      </c>
      <c r="Q52" s="140">
        <v>0</v>
      </c>
      <c r="R52" s="139">
        <v>5</v>
      </c>
      <c r="S52" s="134">
        <v>50</v>
      </c>
      <c r="T52" s="134">
        <v>500</v>
      </c>
      <c r="U52" s="134">
        <v>5</v>
      </c>
      <c r="V52" s="140">
        <v>0</v>
      </c>
      <c r="W52" s="15"/>
    </row>
    <row r="53" spans="1:23" ht="17.100000000000001" customHeight="1" x14ac:dyDescent="0.3">
      <c r="A53" s="139">
        <v>10016</v>
      </c>
      <c r="B53" s="135" t="s">
        <v>88</v>
      </c>
      <c r="C53" s="134" t="s">
        <v>117</v>
      </c>
      <c r="D53" s="134">
        <v>3</v>
      </c>
      <c r="E53" s="134" t="b">
        <v>0</v>
      </c>
      <c r="F53" s="134">
        <v>55</v>
      </c>
      <c r="G53" s="134" t="s">
        <v>46</v>
      </c>
      <c r="H53" s="137">
        <v>1</v>
      </c>
      <c r="I53" s="137">
        <v>0.7</v>
      </c>
      <c r="J53" s="134" t="s">
        <v>106</v>
      </c>
      <c r="K53" s="134" t="s">
        <v>54</v>
      </c>
      <c r="L53" s="134"/>
      <c r="M53" s="134">
        <v>0</v>
      </c>
      <c r="N53" s="134">
        <v>0</v>
      </c>
      <c r="O53" s="134">
        <v>0</v>
      </c>
      <c r="P53" s="134">
        <v>0</v>
      </c>
      <c r="Q53" s="140">
        <v>0</v>
      </c>
      <c r="R53" s="139">
        <v>5</v>
      </c>
      <c r="S53" s="134">
        <v>50</v>
      </c>
      <c r="T53" s="134">
        <v>500</v>
      </c>
      <c r="U53" s="134">
        <v>5</v>
      </c>
      <c r="V53" s="140">
        <v>0</v>
      </c>
      <c r="W53" s="15"/>
    </row>
    <row r="54" spans="1:23" ht="17.100000000000001" customHeight="1" x14ac:dyDescent="0.3">
      <c r="A54" s="139">
        <v>10017</v>
      </c>
      <c r="B54" s="135" t="s">
        <v>88</v>
      </c>
      <c r="C54" s="134" t="s">
        <v>118</v>
      </c>
      <c r="D54" s="134">
        <v>3</v>
      </c>
      <c r="E54" s="134" t="b">
        <v>0</v>
      </c>
      <c r="F54" s="134">
        <v>85</v>
      </c>
      <c r="G54" s="134" t="s">
        <v>46</v>
      </c>
      <c r="H54" s="137">
        <v>2</v>
      </c>
      <c r="I54" s="137">
        <v>0.6</v>
      </c>
      <c r="J54" s="134" t="s">
        <v>119</v>
      </c>
      <c r="K54" s="134" t="s">
        <v>102</v>
      </c>
      <c r="L54" s="134"/>
      <c r="M54" s="134">
        <v>0</v>
      </c>
      <c r="N54" s="134">
        <v>0</v>
      </c>
      <c r="O54" s="134">
        <v>0</v>
      </c>
      <c r="P54" s="134">
        <v>0</v>
      </c>
      <c r="Q54" s="140">
        <v>0</v>
      </c>
      <c r="R54" s="139">
        <v>5</v>
      </c>
      <c r="S54" s="134">
        <v>80</v>
      </c>
      <c r="T54" s="134">
        <v>1000</v>
      </c>
      <c r="U54" s="134">
        <v>10</v>
      </c>
      <c r="V54" s="140">
        <v>0</v>
      </c>
      <c r="W54" s="15"/>
    </row>
    <row r="55" spans="1:23" ht="17.100000000000001" customHeight="1" x14ac:dyDescent="0.3">
      <c r="A55" s="139">
        <v>10018</v>
      </c>
      <c r="B55" s="135" t="s">
        <v>88</v>
      </c>
      <c r="C55" s="134" t="s">
        <v>120</v>
      </c>
      <c r="D55" s="134">
        <v>3</v>
      </c>
      <c r="E55" s="134" t="b">
        <v>0</v>
      </c>
      <c r="F55" s="134">
        <v>145</v>
      </c>
      <c r="G55" s="134" t="s">
        <v>46</v>
      </c>
      <c r="H55" s="136" t="s">
        <v>112</v>
      </c>
      <c r="I55" s="137">
        <v>0.4</v>
      </c>
      <c r="J55" s="134" t="s">
        <v>113</v>
      </c>
      <c r="K55" s="134" t="s">
        <v>102</v>
      </c>
      <c r="L55" s="134"/>
      <c r="M55" s="134">
        <v>0</v>
      </c>
      <c r="N55" s="134">
        <v>0</v>
      </c>
      <c r="O55" s="134">
        <v>0</v>
      </c>
      <c r="P55" s="134">
        <v>0</v>
      </c>
      <c r="Q55" s="140">
        <v>0</v>
      </c>
      <c r="R55" s="139">
        <v>5</v>
      </c>
      <c r="S55" s="134">
        <v>120</v>
      </c>
      <c r="T55" s="134">
        <v>2000</v>
      </c>
      <c r="U55" s="134">
        <v>15</v>
      </c>
      <c r="V55" s="140">
        <v>5</v>
      </c>
      <c r="W55" s="15"/>
    </row>
    <row r="56" spans="1:23" ht="17.100000000000001" customHeight="1" x14ac:dyDescent="0.3">
      <c r="A56" s="139">
        <v>10019</v>
      </c>
      <c r="B56" s="135" t="s">
        <v>88</v>
      </c>
      <c r="C56" s="134" t="s">
        <v>121</v>
      </c>
      <c r="D56" s="134">
        <v>3</v>
      </c>
      <c r="E56" s="134" t="b">
        <v>0</v>
      </c>
      <c r="F56" s="134">
        <v>155</v>
      </c>
      <c r="G56" s="134" t="s">
        <v>46</v>
      </c>
      <c r="H56" s="136" t="s">
        <v>112</v>
      </c>
      <c r="I56" s="137">
        <v>0.4</v>
      </c>
      <c r="J56" s="134" t="s">
        <v>122</v>
      </c>
      <c r="K56" s="134" t="s">
        <v>110</v>
      </c>
      <c r="L56" s="134"/>
      <c r="M56" s="134">
        <v>0</v>
      </c>
      <c r="N56" s="134">
        <v>0</v>
      </c>
      <c r="O56" s="134">
        <v>0</v>
      </c>
      <c r="P56" s="134">
        <v>0</v>
      </c>
      <c r="Q56" s="140">
        <v>0</v>
      </c>
      <c r="R56" s="139">
        <v>5</v>
      </c>
      <c r="S56" s="134">
        <v>170</v>
      </c>
      <c r="T56" s="134">
        <v>3500</v>
      </c>
      <c r="U56" s="134">
        <v>25</v>
      </c>
      <c r="V56" s="140">
        <v>10</v>
      </c>
      <c r="W56" s="15"/>
    </row>
    <row r="57" spans="1:23" ht="17.100000000000001" customHeight="1" x14ac:dyDescent="0.3">
      <c r="A57" s="139">
        <v>10020</v>
      </c>
      <c r="B57" s="135" t="s">
        <v>88</v>
      </c>
      <c r="C57" s="134" t="s">
        <v>123</v>
      </c>
      <c r="D57" s="134">
        <v>3</v>
      </c>
      <c r="E57" s="134" t="b">
        <v>0</v>
      </c>
      <c r="F57" s="134">
        <v>130</v>
      </c>
      <c r="G57" s="134" t="s">
        <v>46</v>
      </c>
      <c r="H57" s="136" t="s">
        <v>112</v>
      </c>
      <c r="I57" s="137">
        <v>0.4</v>
      </c>
      <c r="J57" s="134" t="s">
        <v>124</v>
      </c>
      <c r="K57" s="134" t="s">
        <v>102</v>
      </c>
      <c r="L57" s="134"/>
      <c r="M57" s="134">
        <v>0</v>
      </c>
      <c r="N57" s="134">
        <v>0</v>
      </c>
      <c r="O57" s="134">
        <v>0</v>
      </c>
      <c r="P57" s="134">
        <v>0</v>
      </c>
      <c r="Q57" s="140">
        <v>0</v>
      </c>
      <c r="R57" s="139">
        <v>5</v>
      </c>
      <c r="S57" s="134">
        <v>120</v>
      </c>
      <c r="T57" s="134">
        <v>2000</v>
      </c>
      <c r="U57" s="134">
        <v>15</v>
      </c>
      <c r="V57" s="140">
        <v>5</v>
      </c>
      <c r="W57" s="15"/>
    </row>
    <row r="58" spans="1:23" ht="17.100000000000001" customHeight="1" x14ac:dyDescent="0.3">
      <c r="A58" s="139">
        <v>10021</v>
      </c>
      <c r="B58" s="135" t="s">
        <v>88</v>
      </c>
      <c r="C58" s="134" t="s">
        <v>125</v>
      </c>
      <c r="D58" s="134">
        <v>3</v>
      </c>
      <c r="E58" s="134" t="b">
        <v>0</v>
      </c>
      <c r="F58" s="134">
        <v>115</v>
      </c>
      <c r="G58" s="134" t="s">
        <v>46</v>
      </c>
      <c r="H58" s="137">
        <v>2</v>
      </c>
      <c r="I58" s="137">
        <v>0.5</v>
      </c>
      <c r="J58" s="134" t="s">
        <v>101</v>
      </c>
      <c r="K58" s="134" t="s">
        <v>102</v>
      </c>
      <c r="L58" s="134"/>
      <c r="M58" s="134">
        <v>0</v>
      </c>
      <c r="N58" s="134">
        <v>0</v>
      </c>
      <c r="O58" s="134">
        <v>0</v>
      </c>
      <c r="P58" s="134">
        <v>0</v>
      </c>
      <c r="Q58" s="140">
        <v>0</v>
      </c>
      <c r="R58" s="139">
        <v>5</v>
      </c>
      <c r="S58" s="134">
        <v>80</v>
      </c>
      <c r="T58" s="134">
        <v>1000</v>
      </c>
      <c r="U58" s="134">
        <v>10</v>
      </c>
      <c r="V58" s="140">
        <v>0</v>
      </c>
      <c r="W58" s="15"/>
    </row>
    <row r="59" spans="1:23" ht="17.100000000000001" customHeight="1" x14ac:dyDescent="0.3">
      <c r="A59" s="139">
        <v>10022</v>
      </c>
      <c r="B59" s="135" t="s">
        <v>88</v>
      </c>
      <c r="C59" s="134" t="s">
        <v>126</v>
      </c>
      <c r="D59" s="134">
        <v>3</v>
      </c>
      <c r="E59" s="134" t="b">
        <v>0</v>
      </c>
      <c r="F59" s="134">
        <v>195</v>
      </c>
      <c r="G59" s="134" t="s">
        <v>127</v>
      </c>
      <c r="H59" s="137">
        <v>3</v>
      </c>
      <c r="I59" s="137">
        <v>0.2</v>
      </c>
      <c r="J59" s="134" t="s">
        <v>128</v>
      </c>
      <c r="K59" s="134" t="s">
        <v>129</v>
      </c>
      <c r="L59" s="134"/>
      <c r="M59" s="134">
        <v>0</v>
      </c>
      <c r="N59" s="134">
        <v>0</v>
      </c>
      <c r="O59" s="134">
        <v>0</v>
      </c>
      <c r="P59" s="134">
        <v>0</v>
      </c>
      <c r="Q59" s="140">
        <v>0</v>
      </c>
      <c r="R59" s="139">
        <v>5</v>
      </c>
      <c r="S59" s="134">
        <v>230</v>
      </c>
      <c r="T59" s="134">
        <v>5500</v>
      </c>
      <c r="U59" s="134">
        <v>40</v>
      </c>
      <c r="V59" s="140">
        <v>20</v>
      </c>
      <c r="W59" s="15"/>
    </row>
    <row r="60" spans="1:23" ht="17.100000000000001" customHeight="1" x14ac:dyDescent="0.3">
      <c r="A60" s="139">
        <v>10023</v>
      </c>
      <c r="B60" s="135" t="s">
        <v>88</v>
      </c>
      <c r="C60" s="134" t="s">
        <v>130</v>
      </c>
      <c r="D60" s="134">
        <v>3</v>
      </c>
      <c r="E60" s="134" t="b">
        <v>0</v>
      </c>
      <c r="F60" s="134">
        <v>175</v>
      </c>
      <c r="G60" s="134" t="s">
        <v>127</v>
      </c>
      <c r="H60" s="137">
        <v>3</v>
      </c>
      <c r="I60" s="137">
        <v>0.3</v>
      </c>
      <c r="J60" s="134" t="s">
        <v>131</v>
      </c>
      <c r="K60" s="134" t="s">
        <v>129</v>
      </c>
      <c r="L60" s="134"/>
      <c r="M60" s="134">
        <v>0</v>
      </c>
      <c r="N60" s="134">
        <v>0</v>
      </c>
      <c r="O60" s="134">
        <v>0</v>
      </c>
      <c r="P60" s="134">
        <v>0</v>
      </c>
      <c r="Q60" s="140">
        <v>0</v>
      </c>
      <c r="R60" s="139">
        <v>5</v>
      </c>
      <c r="S60" s="134">
        <v>230</v>
      </c>
      <c r="T60" s="134">
        <v>5500</v>
      </c>
      <c r="U60" s="134">
        <v>40</v>
      </c>
      <c r="V60" s="140">
        <v>20</v>
      </c>
      <c r="W60" s="15"/>
    </row>
    <row r="61" spans="1:23" ht="17.100000000000001" customHeight="1" x14ac:dyDescent="0.3">
      <c r="A61" s="139">
        <v>10024</v>
      </c>
      <c r="B61" s="135" t="s">
        <v>88</v>
      </c>
      <c r="C61" s="134" t="s">
        <v>132</v>
      </c>
      <c r="D61" s="134">
        <v>3</v>
      </c>
      <c r="E61" s="134" t="b">
        <v>0</v>
      </c>
      <c r="F61" s="134">
        <v>90</v>
      </c>
      <c r="G61" s="134" t="s">
        <v>46</v>
      </c>
      <c r="H61" s="137">
        <v>2</v>
      </c>
      <c r="I61" s="137">
        <v>0.6</v>
      </c>
      <c r="J61" s="134" t="s">
        <v>104</v>
      </c>
      <c r="K61" s="134" t="s">
        <v>102</v>
      </c>
      <c r="L61" s="134"/>
      <c r="M61" s="134">
        <v>0</v>
      </c>
      <c r="N61" s="134">
        <v>0</v>
      </c>
      <c r="O61" s="134">
        <v>0</v>
      </c>
      <c r="P61" s="134">
        <v>0</v>
      </c>
      <c r="Q61" s="140">
        <v>0</v>
      </c>
      <c r="R61" s="139">
        <v>5</v>
      </c>
      <c r="S61" s="134">
        <v>80</v>
      </c>
      <c r="T61" s="134">
        <v>1000</v>
      </c>
      <c r="U61" s="134">
        <v>10</v>
      </c>
      <c r="V61" s="140">
        <v>0</v>
      </c>
      <c r="W61" s="15"/>
    </row>
    <row r="62" spans="1:23" ht="17.100000000000001" customHeight="1" x14ac:dyDescent="0.3">
      <c r="A62" s="139">
        <v>10025</v>
      </c>
      <c r="B62" s="135" t="s">
        <v>88</v>
      </c>
      <c r="C62" s="134" t="s">
        <v>133</v>
      </c>
      <c r="D62" s="134">
        <v>3</v>
      </c>
      <c r="E62" s="134" t="b">
        <v>0</v>
      </c>
      <c r="F62" s="134">
        <v>150</v>
      </c>
      <c r="G62" s="134" t="s">
        <v>127</v>
      </c>
      <c r="H62" s="136" t="s">
        <v>112</v>
      </c>
      <c r="I62" s="137">
        <v>0.4</v>
      </c>
      <c r="J62" s="134" t="s">
        <v>134</v>
      </c>
      <c r="K62" s="134" t="s">
        <v>129</v>
      </c>
      <c r="L62" s="134"/>
      <c r="M62" s="134">
        <v>0</v>
      </c>
      <c r="N62" s="134">
        <v>0</v>
      </c>
      <c r="O62" s="134">
        <v>0</v>
      </c>
      <c r="P62" s="134">
        <v>0</v>
      </c>
      <c r="Q62" s="140">
        <v>0</v>
      </c>
      <c r="R62" s="139">
        <v>5</v>
      </c>
      <c r="S62" s="134">
        <v>170</v>
      </c>
      <c r="T62" s="134">
        <v>3500</v>
      </c>
      <c r="U62" s="134">
        <v>25</v>
      </c>
      <c r="V62" s="140">
        <v>10</v>
      </c>
      <c r="W62" s="15"/>
    </row>
    <row r="63" spans="1:23" ht="17.100000000000001" customHeight="1" x14ac:dyDescent="0.3">
      <c r="A63" s="139">
        <v>10026</v>
      </c>
      <c r="B63" s="135" t="s">
        <v>88</v>
      </c>
      <c r="C63" s="134" t="s">
        <v>135</v>
      </c>
      <c r="D63" s="134">
        <v>3</v>
      </c>
      <c r="E63" s="134" t="b">
        <v>0</v>
      </c>
      <c r="F63" s="134">
        <v>135</v>
      </c>
      <c r="G63" s="134" t="s">
        <v>127</v>
      </c>
      <c r="H63" s="136" t="s">
        <v>112</v>
      </c>
      <c r="I63" s="137">
        <v>0.4</v>
      </c>
      <c r="J63" s="134" t="s">
        <v>136</v>
      </c>
      <c r="K63" s="134" t="s">
        <v>137</v>
      </c>
      <c r="L63" s="134"/>
      <c r="M63" s="134">
        <v>0</v>
      </c>
      <c r="N63" s="134">
        <v>0</v>
      </c>
      <c r="O63" s="134">
        <v>0</v>
      </c>
      <c r="P63" s="134">
        <v>0</v>
      </c>
      <c r="Q63" s="140">
        <v>0</v>
      </c>
      <c r="R63" s="139">
        <v>5</v>
      </c>
      <c r="S63" s="134">
        <v>120</v>
      </c>
      <c r="T63" s="134">
        <v>2000</v>
      </c>
      <c r="U63" s="134">
        <v>15</v>
      </c>
      <c r="V63" s="140">
        <v>5</v>
      </c>
      <c r="W63" s="15"/>
    </row>
    <row r="64" spans="1:23" ht="17.100000000000001" customHeight="1" x14ac:dyDescent="0.3">
      <c r="A64" s="139">
        <v>10027</v>
      </c>
      <c r="B64" s="135" t="s">
        <v>88</v>
      </c>
      <c r="C64" s="134" t="s">
        <v>138</v>
      </c>
      <c r="D64" s="134">
        <v>3</v>
      </c>
      <c r="E64" s="134" t="b">
        <v>0</v>
      </c>
      <c r="F64" s="134">
        <v>130</v>
      </c>
      <c r="G64" s="134" t="s">
        <v>127</v>
      </c>
      <c r="H64" s="136" t="s">
        <v>112</v>
      </c>
      <c r="I64" s="137">
        <v>0.4</v>
      </c>
      <c r="J64" s="134" t="s">
        <v>139</v>
      </c>
      <c r="K64" s="134" t="s">
        <v>137</v>
      </c>
      <c r="L64" s="134"/>
      <c r="M64" s="134">
        <v>0</v>
      </c>
      <c r="N64" s="134">
        <v>0</v>
      </c>
      <c r="O64" s="134">
        <v>0</v>
      </c>
      <c r="P64" s="134">
        <v>0</v>
      </c>
      <c r="Q64" s="140">
        <v>0</v>
      </c>
      <c r="R64" s="139">
        <v>5</v>
      </c>
      <c r="S64" s="134">
        <v>120</v>
      </c>
      <c r="T64" s="134">
        <v>2000</v>
      </c>
      <c r="U64" s="134">
        <v>15</v>
      </c>
      <c r="V64" s="140">
        <v>5</v>
      </c>
      <c r="W64" s="15"/>
    </row>
    <row r="65" spans="1:23" ht="17.100000000000001" customHeight="1" x14ac:dyDescent="0.3">
      <c r="A65" s="139">
        <v>10028</v>
      </c>
      <c r="B65" s="135" t="s">
        <v>88</v>
      </c>
      <c r="C65" s="134" t="s">
        <v>140</v>
      </c>
      <c r="D65" s="134">
        <v>3</v>
      </c>
      <c r="E65" s="134" t="b">
        <v>0</v>
      </c>
      <c r="F65" s="134">
        <v>135</v>
      </c>
      <c r="G65" s="134" t="s">
        <v>127</v>
      </c>
      <c r="H65" s="136" t="s">
        <v>112</v>
      </c>
      <c r="I65" s="137">
        <v>0.4</v>
      </c>
      <c r="J65" s="134" t="s">
        <v>136</v>
      </c>
      <c r="K65" s="134" t="s">
        <v>137</v>
      </c>
      <c r="L65" s="134"/>
      <c r="M65" s="134">
        <v>0</v>
      </c>
      <c r="N65" s="134">
        <v>0</v>
      </c>
      <c r="O65" s="134">
        <v>0</v>
      </c>
      <c r="P65" s="134">
        <v>0</v>
      </c>
      <c r="Q65" s="140">
        <v>0</v>
      </c>
      <c r="R65" s="139">
        <v>5</v>
      </c>
      <c r="S65" s="134">
        <v>120</v>
      </c>
      <c r="T65" s="134">
        <v>2000</v>
      </c>
      <c r="U65" s="134">
        <v>15</v>
      </c>
      <c r="V65" s="140">
        <v>5</v>
      </c>
      <c r="W65" s="15"/>
    </row>
    <row r="66" spans="1:23" ht="17.100000000000001" customHeight="1" x14ac:dyDescent="0.3">
      <c r="A66" s="139">
        <v>10029</v>
      </c>
      <c r="B66" s="135" t="s">
        <v>88</v>
      </c>
      <c r="C66" s="134" t="s">
        <v>141</v>
      </c>
      <c r="D66" s="134">
        <v>3</v>
      </c>
      <c r="E66" s="134" t="b">
        <v>0</v>
      </c>
      <c r="F66" s="134">
        <v>185</v>
      </c>
      <c r="G66" s="134" t="s">
        <v>127</v>
      </c>
      <c r="H66" s="137">
        <v>3</v>
      </c>
      <c r="I66" s="137">
        <v>0.2</v>
      </c>
      <c r="J66" s="134" t="s">
        <v>142</v>
      </c>
      <c r="K66" s="134" t="s">
        <v>129</v>
      </c>
      <c r="L66" s="134"/>
      <c r="M66" s="134">
        <v>0</v>
      </c>
      <c r="N66" s="134">
        <v>0</v>
      </c>
      <c r="O66" s="134">
        <v>0</v>
      </c>
      <c r="P66" s="134">
        <v>0</v>
      </c>
      <c r="Q66" s="140">
        <v>0</v>
      </c>
      <c r="R66" s="139">
        <v>5</v>
      </c>
      <c r="S66" s="134">
        <v>230</v>
      </c>
      <c r="T66" s="134">
        <v>5500</v>
      </c>
      <c r="U66" s="134">
        <v>40</v>
      </c>
      <c r="V66" s="140">
        <v>20</v>
      </c>
      <c r="W66" s="15"/>
    </row>
    <row r="67" spans="1:23" ht="17.100000000000001" customHeight="1" x14ac:dyDescent="0.3">
      <c r="A67" s="139">
        <v>10030</v>
      </c>
      <c r="B67" s="135" t="s">
        <v>88</v>
      </c>
      <c r="C67" s="134" t="s">
        <v>143</v>
      </c>
      <c r="D67" s="134">
        <v>3</v>
      </c>
      <c r="E67" s="134" t="b">
        <v>0</v>
      </c>
      <c r="F67" s="134">
        <v>130</v>
      </c>
      <c r="G67" s="134" t="s">
        <v>127</v>
      </c>
      <c r="H67" s="136" t="s">
        <v>112</v>
      </c>
      <c r="I67" s="137">
        <v>0.4</v>
      </c>
      <c r="J67" s="134" t="s">
        <v>139</v>
      </c>
      <c r="K67" s="134" t="s">
        <v>137</v>
      </c>
      <c r="L67" s="134"/>
      <c r="M67" s="134">
        <v>0</v>
      </c>
      <c r="N67" s="134">
        <v>0</v>
      </c>
      <c r="O67" s="134">
        <v>0</v>
      </c>
      <c r="P67" s="134">
        <v>0</v>
      </c>
      <c r="Q67" s="140">
        <v>0</v>
      </c>
      <c r="R67" s="139">
        <v>5</v>
      </c>
      <c r="S67" s="134">
        <v>120</v>
      </c>
      <c r="T67" s="134">
        <v>2000</v>
      </c>
      <c r="U67" s="134">
        <v>15</v>
      </c>
      <c r="V67" s="140">
        <v>5</v>
      </c>
      <c r="W67" s="15"/>
    </row>
    <row r="68" spans="1:23" ht="17.100000000000001" customHeight="1" x14ac:dyDescent="0.3">
      <c r="A68" s="139">
        <v>10031</v>
      </c>
      <c r="B68" s="135" t="s">
        <v>88</v>
      </c>
      <c r="C68" s="134" t="s">
        <v>144</v>
      </c>
      <c r="D68" s="134">
        <v>3</v>
      </c>
      <c r="E68" s="134" t="b">
        <v>0</v>
      </c>
      <c r="F68" s="134">
        <v>185</v>
      </c>
      <c r="G68" s="134" t="s">
        <v>127</v>
      </c>
      <c r="H68" s="137">
        <v>3</v>
      </c>
      <c r="I68" s="137">
        <v>0.2</v>
      </c>
      <c r="J68" s="134" t="s">
        <v>142</v>
      </c>
      <c r="K68" s="134" t="s">
        <v>129</v>
      </c>
      <c r="L68" s="134"/>
      <c r="M68" s="134">
        <v>0</v>
      </c>
      <c r="N68" s="134">
        <v>0</v>
      </c>
      <c r="O68" s="134">
        <v>0</v>
      </c>
      <c r="P68" s="134">
        <v>0</v>
      </c>
      <c r="Q68" s="140">
        <v>0</v>
      </c>
      <c r="R68" s="139">
        <v>5</v>
      </c>
      <c r="S68" s="134">
        <v>230</v>
      </c>
      <c r="T68" s="134">
        <v>5500</v>
      </c>
      <c r="U68" s="134">
        <v>40</v>
      </c>
      <c r="V68" s="140">
        <v>20</v>
      </c>
      <c r="W68" s="15"/>
    </row>
    <row r="69" spans="1:23" ht="17.100000000000001" customHeight="1" x14ac:dyDescent="0.3">
      <c r="A69" s="139">
        <v>10032</v>
      </c>
      <c r="B69" s="135" t="s">
        <v>88</v>
      </c>
      <c r="C69" s="134" t="s">
        <v>145</v>
      </c>
      <c r="D69" s="134">
        <v>3</v>
      </c>
      <c r="E69" s="134" t="b">
        <v>0</v>
      </c>
      <c r="F69" s="134">
        <v>100</v>
      </c>
      <c r="G69" s="134" t="s">
        <v>127</v>
      </c>
      <c r="H69" s="137">
        <v>2</v>
      </c>
      <c r="I69" s="137">
        <v>0.5</v>
      </c>
      <c r="J69" s="134" t="s">
        <v>146</v>
      </c>
      <c r="K69" s="134" t="s">
        <v>137</v>
      </c>
      <c r="L69" s="134"/>
      <c r="M69" s="134">
        <v>0</v>
      </c>
      <c r="N69" s="134">
        <v>0</v>
      </c>
      <c r="O69" s="134">
        <v>0</v>
      </c>
      <c r="P69" s="134">
        <v>0</v>
      </c>
      <c r="Q69" s="140">
        <v>0</v>
      </c>
      <c r="R69" s="139">
        <v>5</v>
      </c>
      <c r="S69" s="134">
        <v>80</v>
      </c>
      <c r="T69" s="134">
        <v>1000</v>
      </c>
      <c r="U69" s="134">
        <v>10</v>
      </c>
      <c r="V69" s="140">
        <v>0</v>
      </c>
      <c r="W69" s="15"/>
    </row>
    <row r="70" spans="1:23" ht="17.100000000000001" customHeight="1" x14ac:dyDescent="0.3">
      <c r="A70" s="139">
        <v>10033</v>
      </c>
      <c r="B70" s="135" t="s">
        <v>88</v>
      </c>
      <c r="C70" s="134" t="s">
        <v>147</v>
      </c>
      <c r="D70" s="134">
        <v>3</v>
      </c>
      <c r="E70" s="134" t="b">
        <v>0</v>
      </c>
      <c r="F70" s="134">
        <v>170</v>
      </c>
      <c r="G70" s="134" t="s">
        <v>127</v>
      </c>
      <c r="H70" s="137">
        <v>3</v>
      </c>
      <c r="I70" s="137">
        <v>0.3</v>
      </c>
      <c r="J70" s="134" t="s">
        <v>148</v>
      </c>
      <c r="K70" s="134" t="s">
        <v>129</v>
      </c>
      <c r="L70" s="134"/>
      <c r="M70" s="134">
        <v>0</v>
      </c>
      <c r="N70" s="134">
        <v>0</v>
      </c>
      <c r="O70" s="134">
        <v>0</v>
      </c>
      <c r="P70" s="134">
        <v>0</v>
      </c>
      <c r="Q70" s="140">
        <v>0</v>
      </c>
      <c r="R70" s="139">
        <v>5</v>
      </c>
      <c r="S70" s="134">
        <v>170</v>
      </c>
      <c r="T70" s="134">
        <v>3500</v>
      </c>
      <c r="U70" s="134">
        <v>25</v>
      </c>
      <c r="V70" s="140">
        <v>10</v>
      </c>
      <c r="W70" s="15"/>
    </row>
    <row r="71" spans="1:23" ht="17.100000000000001" customHeight="1" x14ac:dyDescent="0.3">
      <c r="A71" s="139">
        <v>10034</v>
      </c>
      <c r="B71" s="135" t="s">
        <v>88</v>
      </c>
      <c r="C71" s="134" t="s">
        <v>149</v>
      </c>
      <c r="D71" s="134">
        <v>3</v>
      </c>
      <c r="E71" s="134" t="b">
        <v>0</v>
      </c>
      <c r="F71" s="134">
        <v>125</v>
      </c>
      <c r="G71" s="134" t="s">
        <v>127</v>
      </c>
      <c r="H71" s="137">
        <v>2</v>
      </c>
      <c r="I71" s="137">
        <v>0.5</v>
      </c>
      <c r="J71" s="134" t="s">
        <v>150</v>
      </c>
      <c r="K71" s="134" t="s">
        <v>137</v>
      </c>
      <c r="L71" s="134"/>
      <c r="M71" s="134">
        <v>0</v>
      </c>
      <c r="N71" s="134">
        <v>0</v>
      </c>
      <c r="O71" s="134">
        <v>0</v>
      </c>
      <c r="P71" s="134">
        <v>0</v>
      </c>
      <c r="Q71" s="140">
        <v>0</v>
      </c>
      <c r="R71" s="139">
        <v>5</v>
      </c>
      <c r="S71" s="134">
        <v>120</v>
      </c>
      <c r="T71" s="134">
        <v>2000</v>
      </c>
      <c r="U71" s="134">
        <v>15</v>
      </c>
      <c r="V71" s="140">
        <v>5</v>
      </c>
      <c r="W71" s="15"/>
    </row>
    <row r="72" spans="1:23" ht="17.100000000000001" customHeight="1" x14ac:dyDescent="0.3">
      <c r="A72" s="139">
        <v>10035</v>
      </c>
      <c r="B72" s="135" t="s">
        <v>88</v>
      </c>
      <c r="C72" s="134" t="s">
        <v>151</v>
      </c>
      <c r="D72" s="134">
        <v>3</v>
      </c>
      <c r="E72" s="134" t="b">
        <v>0</v>
      </c>
      <c r="F72" s="134">
        <v>100</v>
      </c>
      <c r="G72" s="134" t="s">
        <v>127</v>
      </c>
      <c r="H72" s="137">
        <v>2</v>
      </c>
      <c r="I72" s="137">
        <v>0.5</v>
      </c>
      <c r="J72" s="134" t="s">
        <v>146</v>
      </c>
      <c r="K72" s="134" t="s">
        <v>137</v>
      </c>
      <c r="L72" s="134"/>
      <c r="M72" s="134">
        <v>0</v>
      </c>
      <c r="N72" s="134">
        <v>0</v>
      </c>
      <c r="O72" s="134">
        <v>0</v>
      </c>
      <c r="P72" s="134">
        <v>0</v>
      </c>
      <c r="Q72" s="140">
        <v>0</v>
      </c>
      <c r="R72" s="139">
        <v>5</v>
      </c>
      <c r="S72" s="134">
        <v>80</v>
      </c>
      <c r="T72" s="134">
        <v>1000</v>
      </c>
      <c r="U72" s="134">
        <v>10</v>
      </c>
      <c r="V72" s="140">
        <v>0</v>
      </c>
      <c r="W72" s="15"/>
    </row>
    <row r="73" spans="1:23" ht="17.100000000000001" customHeight="1" x14ac:dyDescent="0.3">
      <c r="A73" s="139">
        <v>10036</v>
      </c>
      <c r="B73" s="135" t="s">
        <v>88</v>
      </c>
      <c r="C73" s="134" t="s">
        <v>152</v>
      </c>
      <c r="D73" s="134">
        <v>3</v>
      </c>
      <c r="E73" s="134" t="b">
        <v>0</v>
      </c>
      <c r="F73" s="134">
        <v>80</v>
      </c>
      <c r="G73" s="134" t="s">
        <v>46</v>
      </c>
      <c r="H73" s="137">
        <v>2</v>
      </c>
      <c r="I73" s="137">
        <v>0.6</v>
      </c>
      <c r="J73" s="134" t="s">
        <v>115</v>
      </c>
      <c r="K73" s="134" t="s">
        <v>54</v>
      </c>
      <c r="L73" s="134"/>
      <c r="M73" s="134">
        <v>0</v>
      </c>
      <c r="N73" s="134">
        <v>0</v>
      </c>
      <c r="O73" s="134">
        <v>0</v>
      </c>
      <c r="P73" s="134">
        <v>0</v>
      </c>
      <c r="Q73" s="140">
        <v>0</v>
      </c>
      <c r="R73" s="139">
        <v>5</v>
      </c>
      <c r="S73" s="134">
        <v>80</v>
      </c>
      <c r="T73" s="134">
        <v>1000</v>
      </c>
      <c r="U73" s="134">
        <v>10</v>
      </c>
      <c r="V73" s="140">
        <v>0</v>
      </c>
      <c r="W73" s="15"/>
    </row>
    <row r="74" spans="1:23" ht="17.100000000000001" customHeight="1" x14ac:dyDescent="0.3">
      <c r="A74" s="139">
        <v>10037</v>
      </c>
      <c r="B74" s="135" t="s">
        <v>88</v>
      </c>
      <c r="C74" s="134" t="s">
        <v>153</v>
      </c>
      <c r="D74" s="134">
        <v>3</v>
      </c>
      <c r="E74" s="134" t="b">
        <v>0</v>
      </c>
      <c r="F74" s="134">
        <v>80</v>
      </c>
      <c r="G74" s="134" t="s">
        <v>46</v>
      </c>
      <c r="H74" s="137">
        <v>2</v>
      </c>
      <c r="I74" s="137">
        <v>0.6</v>
      </c>
      <c r="J74" s="134" t="s">
        <v>115</v>
      </c>
      <c r="K74" s="134" t="s">
        <v>54</v>
      </c>
      <c r="L74" s="134"/>
      <c r="M74" s="134">
        <v>0</v>
      </c>
      <c r="N74" s="134">
        <v>0</v>
      </c>
      <c r="O74" s="134">
        <v>0</v>
      </c>
      <c r="P74" s="134">
        <v>0</v>
      </c>
      <c r="Q74" s="140">
        <v>0</v>
      </c>
      <c r="R74" s="139">
        <v>5</v>
      </c>
      <c r="S74" s="134">
        <v>80</v>
      </c>
      <c r="T74" s="134">
        <v>1000</v>
      </c>
      <c r="U74" s="134">
        <v>10</v>
      </c>
      <c r="V74" s="140">
        <v>0</v>
      </c>
      <c r="W74" s="15"/>
    </row>
    <row r="75" spans="1:23" ht="17.100000000000001" customHeight="1" x14ac:dyDescent="0.3">
      <c r="A75" s="139">
        <v>10038</v>
      </c>
      <c r="B75" s="135" t="s">
        <v>88</v>
      </c>
      <c r="C75" s="134" t="s">
        <v>154</v>
      </c>
      <c r="D75" s="134">
        <v>3</v>
      </c>
      <c r="E75" s="134" t="b">
        <v>0</v>
      </c>
      <c r="F75" s="134">
        <v>140</v>
      </c>
      <c r="G75" s="134" t="s">
        <v>127</v>
      </c>
      <c r="H75" s="136" t="s">
        <v>112</v>
      </c>
      <c r="I75" s="137">
        <v>0.4</v>
      </c>
      <c r="J75" s="134" t="s">
        <v>155</v>
      </c>
      <c r="K75" s="134" t="s">
        <v>137</v>
      </c>
      <c r="L75" s="134"/>
      <c r="M75" s="134">
        <v>0</v>
      </c>
      <c r="N75" s="134">
        <v>0</v>
      </c>
      <c r="O75" s="134">
        <v>0</v>
      </c>
      <c r="P75" s="134">
        <v>0</v>
      </c>
      <c r="Q75" s="140">
        <v>0</v>
      </c>
      <c r="R75" s="139">
        <v>5</v>
      </c>
      <c r="S75" s="134">
        <v>120</v>
      </c>
      <c r="T75" s="134">
        <v>2000</v>
      </c>
      <c r="U75" s="134">
        <v>15</v>
      </c>
      <c r="V75" s="140">
        <v>5</v>
      </c>
      <c r="W75" s="15"/>
    </row>
    <row r="76" spans="1:23" ht="17.100000000000001" customHeight="1" x14ac:dyDescent="0.3">
      <c r="A76" s="139">
        <v>10039</v>
      </c>
      <c r="B76" s="135" t="s">
        <v>88</v>
      </c>
      <c r="C76" s="134" t="s">
        <v>156</v>
      </c>
      <c r="D76" s="134">
        <v>3</v>
      </c>
      <c r="E76" s="134" t="b">
        <v>0</v>
      </c>
      <c r="F76" s="134">
        <v>95</v>
      </c>
      <c r="G76" s="134" t="s">
        <v>46</v>
      </c>
      <c r="H76" s="137">
        <v>2</v>
      </c>
      <c r="I76" s="137">
        <v>0.6</v>
      </c>
      <c r="J76" s="134" t="s">
        <v>157</v>
      </c>
      <c r="K76" s="134" t="s">
        <v>102</v>
      </c>
      <c r="L76" s="134"/>
      <c r="M76" s="134">
        <v>0</v>
      </c>
      <c r="N76" s="134">
        <v>0</v>
      </c>
      <c r="O76" s="134">
        <v>0</v>
      </c>
      <c r="P76" s="134">
        <v>0</v>
      </c>
      <c r="Q76" s="140">
        <v>0</v>
      </c>
      <c r="R76" s="139">
        <v>5</v>
      </c>
      <c r="S76" s="134">
        <v>80</v>
      </c>
      <c r="T76" s="134">
        <v>1000</v>
      </c>
      <c r="U76" s="134">
        <v>10</v>
      </c>
      <c r="V76" s="140">
        <v>0</v>
      </c>
      <c r="W76" s="15"/>
    </row>
    <row r="77" spans="1:23" ht="17.100000000000001" customHeight="1" x14ac:dyDescent="0.3">
      <c r="A77" s="139">
        <v>10040</v>
      </c>
      <c r="B77" s="135" t="s">
        <v>88</v>
      </c>
      <c r="C77" s="134" t="s">
        <v>158</v>
      </c>
      <c r="D77" s="134">
        <v>3</v>
      </c>
      <c r="E77" s="134" t="b">
        <v>0</v>
      </c>
      <c r="F77" s="134">
        <v>100</v>
      </c>
      <c r="G77" s="134" t="s">
        <v>127</v>
      </c>
      <c r="H77" s="137">
        <v>2</v>
      </c>
      <c r="I77" s="137">
        <v>0.5</v>
      </c>
      <c r="J77" s="134" t="s">
        <v>146</v>
      </c>
      <c r="K77" s="134" t="s">
        <v>137</v>
      </c>
      <c r="L77" s="134"/>
      <c r="M77" s="134">
        <v>0</v>
      </c>
      <c r="N77" s="134">
        <v>0</v>
      </c>
      <c r="O77" s="134">
        <v>0</v>
      </c>
      <c r="P77" s="134">
        <v>0</v>
      </c>
      <c r="Q77" s="140">
        <v>0</v>
      </c>
      <c r="R77" s="139">
        <v>5</v>
      </c>
      <c r="S77" s="134">
        <v>80</v>
      </c>
      <c r="T77" s="134">
        <v>1000</v>
      </c>
      <c r="U77" s="134">
        <v>10</v>
      </c>
      <c r="V77" s="140">
        <v>0</v>
      </c>
      <c r="W77" s="15"/>
    </row>
    <row r="78" spans="1:23" ht="17.100000000000001" customHeight="1" x14ac:dyDescent="0.3">
      <c r="A78" s="139">
        <v>10041</v>
      </c>
      <c r="B78" s="135" t="s">
        <v>88</v>
      </c>
      <c r="C78" s="134" t="s">
        <v>159</v>
      </c>
      <c r="D78" s="134">
        <v>3</v>
      </c>
      <c r="E78" s="134" t="b">
        <v>0</v>
      </c>
      <c r="F78" s="134">
        <v>110</v>
      </c>
      <c r="G78" s="134" t="s">
        <v>127</v>
      </c>
      <c r="H78" s="137">
        <v>2</v>
      </c>
      <c r="I78" s="137">
        <v>0.5</v>
      </c>
      <c r="J78" s="134" t="s">
        <v>160</v>
      </c>
      <c r="K78" s="134" t="s">
        <v>137</v>
      </c>
      <c r="L78" s="134"/>
      <c r="M78" s="134">
        <v>0</v>
      </c>
      <c r="N78" s="134">
        <v>0</v>
      </c>
      <c r="O78" s="134">
        <v>0</v>
      </c>
      <c r="P78" s="134">
        <v>0</v>
      </c>
      <c r="Q78" s="140">
        <v>0</v>
      </c>
      <c r="R78" s="139">
        <v>5</v>
      </c>
      <c r="S78" s="134">
        <v>80</v>
      </c>
      <c r="T78" s="134">
        <v>1000</v>
      </c>
      <c r="U78" s="134">
        <v>10</v>
      </c>
      <c r="V78" s="140">
        <v>0</v>
      </c>
      <c r="W78" s="15"/>
    </row>
    <row r="79" spans="1:23" ht="17.100000000000001" customHeight="1" x14ac:dyDescent="0.3">
      <c r="A79" s="139">
        <v>10042</v>
      </c>
      <c r="B79" s="135" t="s">
        <v>88</v>
      </c>
      <c r="C79" s="134" t="s">
        <v>161</v>
      </c>
      <c r="D79" s="134">
        <v>3</v>
      </c>
      <c r="E79" s="134" t="b">
        <v>0</v>
      </c>
      <c r="F79" s="134">
        <v>55</v>
      </c>
      <c r="G79" s="134" t="s">
        <v>46</v>
      </c>
      <c r="H79" s="137">
        <v>1</v>
      </c>
      <c r="I79" s="137">
        <v>0.7</v>
      </c>
      <c r="J79" s="134" t="s">
        <v>106</v>
      </c>
      <c r="K79" s="134" t="s">
        <v>54</v>
      </c>
      <c r="L79" s="134"/>
      <c r="M79" s="134">
        <v>0</v>
      </c>
      <c r="N79" s="134">
        <v>0</v>
      </c>
      <c r="O79" s="134">
        <v>0</v>
      </c>
      <c r="P79" s="134">
        <v>0</v>
      </c>
      <c r="Q79" s="140">
        <v>0</v>
      </c>
      <c r="R79" s="139">
        <v>5</v>
      </c>
      <c r="S79" s="134">
        <v>50</v>
      </c>
      <c r="T79" s="134">
        <v>500</v>
      </c>
      <c r="U79" s="134">
        <v>5</v>
      </c>
      <c r="V79" s="140">
        <v>0</v>
      </c>
      <c r="W79" s="15"/>
    </row>
    <row r="80" spans="1:23" ht="17.100000000000001" customHeight="1" x14ac:dyDescent="0.3">
      <c r="A80" s="139">
        <v>10043</v>
      </c>
      <c r="B80" s="135" t="s">
        <v>88</v>
      </c>
      <c r="C80" s="134" t="s">
        <v>162</v>
      </c>
      <c r="D80" s="134">
        <v>3</v>
      </c>
      <c r="E80" s="134" t="b">
        <v>0</v>
      </c>
      <c r="F80" s="134">
        <v>80</v>
      </c>
      <c r="G80" s="134" t="s">
        <v>46</v>
      </c>
      <c r="H80" s="137">
        <v>2</v>
      </c>
      <c r="I80" s="137">
        <v>0.6</v>
      </c>
      <c r="J80" s="134" t="s">
        <v>115</v>
      </c>
      <c r="K80" s="134" t="s">
        <v>54</v>
      </c>
      <c r="L80" s="134"/>
      <c r="M80" s="134">
        <v>0</v>
      </c>
      <c r="N80" s="134">
        <v>0</v>
      </c>
      <c r="O80" s="134">
        <v>0</v>
      </c>
      <c r="P80" s="134">
        <v>0</v>
      </c>
      <c r="Q80" s="140">
        <v>0</v>
      </c>
      <c r="R80" s="139">
        <v>5</v>
      </c>
      <c r="S80" s="134">
        <v>80</v>
      </c>
      <c r="T80" s="134">
        <v>1000</v>
      </c>
      <c r="U80" s="134">
        <v>10</v>
      </c>
      <c r="V80" s="140">
        <v>0</v>
      </c>
      <c r="W80" s="15"/>
    </row>
    <row r="81" spans="1:23" ht="17.100000000000001" customHeight="1" x14ac:dyDescent="0.3">
      <c r="A81" s="139">
        <v>10044</v>
      </c>
      <c r="B81" s="135" t="s">
        <v>88</v>
      </c>
      <c r="C81" s="134" t="s">
        <v>163</v>
      </c>
      <c r="D81" s="134">
        <v>3</v>
      </c>
      <c r="E81" s="134" t="b">
        <v>0</v>
      </c>
      <c r="F81" s="134">
        <v>90</v>
      </c>
      <c r="G81" s="134" t="s">
        <v>46</v>
      </c>
      <c r="H81" s="137">
        <v>2</v>
      </c>
      <c r="I81" s="137">
        <v>0.6</v>
      </c>
      <c r="J81" s="134" t="s">
        <v>104</v>
      </c>
      <c r="K81" s="134" t="s">
        <v>102</v>
      </c>
      <c r="L81" s="134"/>
      <c r="M81" s="134">
        <v>0</v>
      </c>
      <c r="N81" s="134">
        <v>0</v>
      </c>
      <c r="O81" s="134">
        <v>0</v>
      </c>
      <c r="P81" s="134">
        <v>0</v>
      </c>
      <c r="Q81" s="140">
        <v>0</v>
      </c>
      <c r="R81" s="139">
        <v>5</v>
      </c>
      <c r="S81" s="134">
        <v>80</v>
      </c>
      <c r="T81" s="134">
        <v>1000</v>
      </c>
      <c r="U81" s="134">
        <v>10</v>
      </c>
      <c r="V81" s="140">
        <v>0</v>
      </c>
      <c r="W81" s="15"/>
    </row>
    <row r="82" spans="1:23" ht="17.100000000000001" customHeight="1" x14ac:dyDescent="0.3">
      <c r="A82" s="139">
        <v>10045</v>
      </c>
      <c r="B82" s="135" t="s">
        <v>88</v>
      </c>
      <c r="C82" s="134" t="s">
        <v>164</v>
      </c>
      <c r="D82" s="134">
        <v>3</v>
      </c>
      <c r="E82" s="134" t="b">
        <v>0</v>
      </c>
      <c r="F82" s="134">
        <v>130</v>
      </c>
      <c r="G82" s="134" t="s">
        <v>127</v>
      </c>
      <c r="H82" s="136" t="s">
        <v>112</v>
      </c>
      <c r="I82" s="137">
        <v>0.4</v>
      </c>
      <c r="J82" s="134" t="s">
        <v>139</v>
      </c>
      <c r="K82" s="134" t="s">
        <v>137</v>
      </c>
      <c r="L82" s="134"/>
      <c r="M82" s="134">
        <v>0</v>
      </c>
      <c r="N82" s="134">
        <v>0</v>
      </c>
      <c r="O82" s="134">
        <v>0</v>
      </c>
      <c r="P82" s="134">
        <v>0</v>
      </c>
      <c r="Q82" s="140">
        <v>0</v>
      </c>
      <c r="R82" s="139">
        <v>5</v>
      </c>
      <c r="S82" s="134">
        <v>120</v>
      </c>
      <c r="T82" s="134">
        <v>2000</v>
      </c>
      <c r="U82" s="134">
        <v>15</v>
      </c>
      <c r="V82" s="140">
        <v>5</v>
      </c>
      <c r="W82" s="15"/>
    </row>
    <row r="83" spans="1:23" ht="17.100000000000001" customHeight="1" x14ac:dyDescent="0.3">
      <c r="A83" s="139">
        <v>10046</v>
      </c>
      <c r="B83" s="135" t="s">
        <v>88</v>
      </c>
      <c r="C83" s="134" t="s">
        <v>165</v>
      </c>
      <c r="D83" s="134">
        <v>3</v>
      </c>
      <c r="E83" s="134" t="b">
        <v>0</v>
      </c>
      <c r="F83" s="134">
        <v>160</v>
      </c>
      <c r="G83" s="134" t="s">
        <v>127</v>
      </c>
      <c r="H83" s="136" t="s">
        <v>112</v>
      </c>
      <c r="I83" s="137">
        <v>0.3</v>
      </c>
      <c r="J83" s="134" t="s">
        <v>166</v>
      </c>
      <c r="K83" s="134" t="s">
        <v>129</v>
      </c>
      <c r="L83" s="134"/>
      <c r="M83" s="134">
        <v>0</v>
      </c>
      <c r="N83" s="134">
        <v>0</v>
      </c>
      <c r="O83" s="134">
        <v>0</v>
      </c>
      <c r="P83" s="134">
        <v>0</v>
      </c>
      <c r="Q83" s="140">
        <v>0</v>
      </c>
      <c r="R83" s="139">
        <v>5</v>
      </c>
      <c r="S83" s="134">
        <v>170</v>
      </c>
      <c r="T83" s="134">
        <v>3500</v>
      </c>
      <c r="U83" s="134">
        <v>25</v>
      </c>
      <c r="V83" s="140">
        <v>10</v>
      </c>
      <c r="W83" s="15"/>
    </row>
    <row r="84" spans="1:23" ht="17.100000000000001" customHeight="1" x14ac:dyDescent="0.3">
      <c r="A84" s="139">
        <v>10047</v>
      </c>
      <c r="B84" s="135" t="s">
        <v>88</v>
      </c>
      <c r="C84" s="134" t="s">
        <v>167</v>
      </c>
      <c r="D84" s="134">
        <v>3</v>
      </c>
      <c r="E84" s="134" t="b">
        <v>0</v>
      </c>
      <c r="F84" s="134">
        <v>85</v>
      </c>
      <c r="G84" s="134" t="s">
        <v>46</v>
      </c>
      <c r="H84" s="137">
        <v>2</v>
      </c>
      <c r="I84" s="137">
        <v>0.6</v>
      </c>
      <c r="J84" s="134" t="s">
        <v>119</v>
      </c>
      <c r="K84" s="134" t="s">
        <v>102</v>
      </c>
      <c r="L84" s="134"/>
      <c r="M84" s="134">
        <v>0</v>
      </c>
      <c r="N84" s="134">
        <v>0</v>
      </c>
      <c r="O84" s="134">
        <v>0</v>
      </c>
      <c r="P84" s="134">
        <v>0</v>
      </c>
      <c r="Q84" s="140">
        <v>0</v>
      </c>
      <c r="R84" s="139">
        <v>5</v>
      </c>
      <c r="S84" s="134">
        <v>80</v>
      </c>
      <c r="T84" s="134">
        <v>1000</v>
      </c>
      <c r="U84" s="134">
        <v>10</v>
      </c>
      <c r="V84" s="140">
        <v>0</v>
      </c>
      <c r="W84" s="15"/>
    </row>
    <row r="85" spans="1:23" ht="17.100000000000001" customHeight="1" x14ac:dyDescent="0.3">
      <c r="A85" s="139">
        <v>10048</v>
      </c>
      <c r="B85" s="135" t="s">
        <v>88</v>
      </c>
      <c r="C85" s="134" t="s">
        <v>168</v>
      </c>
      <c r="D85" s="134">
        <v>3</v>
      </c>
      <c r="E85" s="134" t="b">
        <v>0</v>
      </c>
      <c r="F85" s="134">
        <v>125</v>
      </c>
      <c r="G85" s="134" t="s">
        <v>127</v>
      </c>
      <c r="H85" s="137">
        <v>2</v>
      </c>
      <c r="I85" s="137">
        <v>0.5</v>
      </c>
      <c r="J85" s="134" t="s">
        <v>150</v>
      </c>
      <c r="K85" s="134" t="s">
        <v>137</v>
      </c>
      <c r="L85" s="134"/>
      <c r="M85" s="134">
        <v>0</v>
      </c>
      <c r="N85" s="134">
        <v>0</v>
      </c>
      <c r="O85" s="134">
        <v>0</v>
      </c>
      <c r="P85" s="134">
        <v>0</v>
      </c>
      <c r="Q85" s="140">
        <v>0</v>
      </c>
      <c r="R85" s="139">
        <v>5</v>
      </c>
      <c r="S85" s="134">
        <v>120</v>
      </c>
      <c r="T85" s="134">
        <v>2000</v>
      </c>
      <c r="U85" s="134">
        <v>15</v>
      </c>
      <c r="V85" s="140">
        <v>5</v>
      </c>
      <c r="W85" s="15"/>
    </row>
    <row r="86" spans="1:23" s="4" customFormat="1" ht="17.100000000000001" customHeight="1" x14ac:dyDescent="0.3">
      <c r="A86" s="139">
        <v>10049</v>
      </c>
      <c r="B86" s="135" t="s">
        <v>88</v>
      </c>
      <c r="C86" s="134" t="s">
        <v>169</v>
      </c>
      <c r="D86" s="134">
        <v>3</v>
      </c>
      <c r="E86" s="134" t="b">
        <v>0</v>
      </c>
      <c r="F86" s="134">
        <v>80</v>
      </c>
      <c r="G86" s="134" t="s">
        <v>46</v>
      </c>
      <c r="H86" s="137">
        <v>2</v>
      </c>
      <c r="I86" s="137">
        <v>0.6</v>
      </c>
      <c r="J86" s="134" t="s">
        <v>115</v>
      </c>
      <c r="K86" s="134" t="s">
        <v>54</v>
      </c>
      <c r="L86" s="134"/>
      <c r="M86" s="134">
        <v>0</v>
      </c>
      <c r="N86" s="134">
        <v>0</v>
      </c>
      <c r="O86" s="134">
        <v>0</v>
      </c>
      <c r="P86" s="134">
        <v>0</v>
      </c>
      <c r="Q86" s="140">
        <v>0</v>
      </c>
      <c r="R86" s="139">
        <v>5</v>
      </c>
      <c r="S86" s="134">
        <v>80</v>
      </c>
      <c r="T86" s="134">
        <v>1000</v>
      </c>
      <c r="U86" s="134">
        <v>10</v>
      </c>
      <c r="V86" s="140">
        <v>0</v>
      </c>
      <c r="W86" s="79"/>
    </row>
    <row r="87" spans="1:23" s="4" customFormat="1" ht="17.100000000000001" customHeight="1" x14ac:dyDescent="0.3">
      <c r="A87" s="139">
        <v>10050</v>
      </c>
      <c r="B87" s="135" t="s">
        <v>88</v>
      </c>
      <c r="C87" s="134" t="s">
        <v>170</v>
      </c>
      <c r="D87" s="134">
        <v>3</v>
      </c>
      <c r="E87" s="134" t="b">
        <v>0</v>
      </c>
      <c r="F87" s="134">
        <v>135</v>
      </c>
      <c r="G87" s="134" t="s">
        <v>127</v>
      </c>
      <c r="H87" s="136" t="s">
        <v>112</v>
      </c>
      <c r="I87" s="137">
        <v>0.4</v>
      </c>
      <c r="J87" s="134" t="s">
        <v>136</v>
      </c>
      <c r="K87" s="134" t="s">
        <v>137</v>
      </c>
      <c r="L87" s="134"/>
      <c r="M87" s="134">
        <v>0</v>
      </c>
      <c r="N87" s="134">
        <v>0</v>
      </c>
      <c r="O87" s="134">
        <v>0</v>
      </c>
      <c r="P87" s="134">
        <v>0</v>
      </c>
      <c r="Q87" s="140">
        <v>0</v>
      </c>
      <c r="R87" s="139">
        <v>5</v>
      </c>
      <c r="S87" s="134">
        <v>120</v>
      </c>
      <c r="T87" s="134">
        <v>2000</v>
      </c>
      <c r="U87" s="134">
        <v>15</v>
      </c>
      <c r="V87" s="140">
        <v>5</v>
      </c>
      <c r="W87" s="79"/>
    </row>
    <row r="88" spans="1:23" s="4" customFormat="1" ht="17.100000000000001" customHeight="1" x14ac:dyDescent="0.3">
      <c r="A88" s="139">
        <v>10051</v>
      </c>
      <c r="B88" s="135" t="s">
        <v>88</v>
      </c>
      <c r="C88" s="134" t="s">
        <v>171</v>
      </c>
      <c r="D88" s="134">
        <v>3</v>
      </c>
      <c r="E88" s="134" t="b">
        <v>0</v>
      </c>
      <c r="F88" s="134">
        <v>145</v>
      </c>
      <c r="G88" s="134" t="s">
        <v>127</v>
      </c>
      <c r="H88" s="136" t="s">
        <v>112</v>
      </c>
      <c r="I88" s="137">
        <v>0.4</v>
      </c>
      <c r="J88" s="134" t="s">
        <v>172</v>
      </c>
      <c r="K88" s="134" t="s">
        <v>137</v>
      </c>
      <c r="L88" s="134"/>
      <c r="M88" s="134">
        <v>0</v>
      </c>
      <c r="N88" s="134">
        <v>0</v>
      </c>
      <c r="O88" s="134">
        <v>0</v>
      </c>
      <c r="P88" s="134">
        <v>1</v>
      </c>
      <c r="Q88" s="140">
        <v>0</v>
      </c>
      <c r="R88" s="139">
        <v>5</v>
      </c>
      <c r="S88" s="134">
        <v>120</v>
      </c>
      <c r="T88" s="134">
        <v>2000</v>
      </c>
      <c r="U88" s="134">
        <v>15</v>
      </c>
      <c r="V88" s="140">
        <v>5</v>
      </c>
      <c r="W88" s="79"/>
    </row>
    <row r="89" spans="1:23" s="4" customFormat="1" ht="17.100000000000001" customHeight="1" x14ac:dyDescent="0.3">
      <c r="A89" s="139">
        <v>10052</v>
      </c>
      <c r="B89" s="135" t="s">
        <v>88</v>
      </c>
      <c r="C89" s="134" t="s">
        <v>173</v>
      </c>
      <c r="D89" s="134">
        <v>3</v>
      </c>
      <c r="E89" s="134" t="b">
        <v>0</v>
      </c>
      <c r="F89" s="134">
        <v>70</v>
      </c>
      <c r="G89" s="134" t="s">
        <v>46</v>
      </c>
      <c r="H89" s="137">
        <v>2</v>
      </c>
      <c r="I89" s="137">
        <v>0.6</v>
      </c>
      <c r="J89" s="134" t="s">
        <v>96</v>
      </c>
      <c r="K89" s="134" t="s">
        <v>54</v>
      </c>
      <c r="L89" s="134"/>
      <c r="M89" s="134">
        <v>0</v>
      </c>
      <c r="N89" s="134">
        <v>0</v>
      </c>
      <c r="O89" s="134">
        <v>0</v>
      </c>
      <c r="P89" s="134">
        <v>0</v>
      </c>
      <c r="Q89" s="140">
        <v>0</v>
      </c>
      <c r="R89" s="139">
        <v>5</v>
      </c>
      <c r="S89" s="134">
        <v>80</v>
      </c>
      <c r="T89" s="134">
        <v>1000</v>
      </c>
      <c r="U89" s="134">
        <v>10</v>
      </c>
      <c r="V89" s="140">
        <v>0</v>
      </c>
      <c r="W89" s="79"/>
    </row>
    <row r="90" spans="1:23" s="4" customFormat="1" ht="17.100000000000001" customHeight="1" x14ac:dyDescent="0.3">
      <c r="A90" s="139">
        <v>10053</v>
      </c>
      <c r="B90" s="135" t="s">
        <v>88</v>
      </c>
      <c r="C90" s="134" t="s">
        <v>174</v>
      </c>
      <c r="D90" s="134">
        <v>3</v>
      </c>
      <c r="E90" s="134" t="b">
        <v>0</v>
      </c>
      <c r="F90" s="134">
        <v>95</v>
      </c>
      <c r="G90" s="134" t="s">
        <v>46</v>
      </c>
      <c r="H90" s="137">
        <v>2</v>
      </c>
      <c r="I90" s="137">
        <v>0.6</v>
      </c>
      <c r="J90" s="134" t="s">
        <v>157</v>
      </c>
      <c r="K90" s="134" t="s">
        <v>102</v>
      </c>
      <c r="L90" s="134"/>
      <c r="M90" s="134">
        <v>0</v>
      </c>
      <c r="N90" s="134">
        <v>0</v>
      </c>
      <c r="O90" s="134">
        <v>0</v>
      </c>
      <c r="P90" s="134">
        <v>0</v>
      </c>
      <c r="Q90" s="140">
        <v>0</v>
      </c>
      <c r="R90" s="139">
        <v>5</v>
      </c>
      <c r="S90" s="134">
        <v>80</v>
      </c>
      <c r="T90" s="134">
        <v>1000</v>
      </c>
      <c r="U90" s="134">
        <v>10</v>
      </c>
      <c r="V90" s="140">
        <v>0</v>
      </c>
      <c r="W90" s="79"/>
    </row>
    <row r="91" spans="1:23" s="4" customFormat="1" ht="17.100000000000001" customHeight="1" x14ac:dyDescent="0.3">
      <c r="A91" s="139">
        <v>10054</v>
      </c>
      <c r="B91" s="135" t="s">
        <v>88</v>
      </c>
      <c r="C91" s="134" t="s">
        <v>175</v>
      </c>
      <c r="D91" s="134">
        <v>3</v>
      </c>
      <c r="E91" s="134" t="b">
        <v>0</v>
      </c>
      <c r="F91" s="134">
        <v>105</v>
      </c>
      <c r="G91" s="134" t="s">
        <v>127</v>
      </c>
      <c r="H91" s="137">
        <v>2</v>
      </c>
      <c r="I91" s="137">
        <v>0.5</v>
      </c>
      <c r="J91" s="134" t="s">
        <v>176</v>
      </c>
      <c r="K91" s="134" t="s">
        <v>137</v>
      </c>
      <c r="L91" s="134"/>
      <c r="M91" s="134">
        <v>0</v>
      </c>
      <c r="N91" s="134">
        <v>0</v>
      </c>
      <c r="O91" s="134">
        <v>0</v>
      </c>
      <c r="P91" s="134">
        <v>0</v>
      </c>
      <c r="Q91" s="140">
        <v>0</v>
      </c>
      <c r="R91" s="139">
        <v>5</v>
      </c>
      <c r="S91" s="134">
        <v>80</v>
      </c>
      <c r="T91" s="134">
        <v>1000</v>
      </c>
      <c r="U91" s="134">
        <v>10</v>
      </c>
      <c r="V91" s="140">
        <v>0</v>
      </c>
      <c r="W91" s="79"/>
    </row>
    <row r="92" spans="1:23" s="4" customFormat="1" ht="17.100000000000001" customHeight="1" x14ac:dyDescent="0.3">
      <c r="A92" s="139">
        <v>10055</v>
      </c>
      <c r="B92" s="135" t="s">
        <v>88</v>
      </c>
      <c r="C92" s="134" t="s">
        <v>177</v>
      </c>
      <c r="D92" s="134">
        <v>3</v>
      </c>
      <c r="E92" s="134" t="b">
        <v>0</v>
      </c>
      <c r="F92" s="134">
        <v>120</v>
      </c>
      <c r="G92" s="134" t="s">
        <v>127</v>
      </c>
      <c r="H92" s="137">
        <v>2</v>
      </c>
      <c r="I92" s="137">
        <v>0.5</v>
      </c>
      <c r="J92" s="134" t="s">
        <v>178</v>
      </c>
      <c r="K92" s="134" t="s">
        <v>137</v>
      </c>
      <c r="L92" s="134"/>
      <c r="M92" s="134">
        <v>0</v>
      </c>
      <c r="N92" s="134">
        <v>0</v>
      </c>
      <c r="O92" s="134">
        <v>0</v>
      </c>
      <c r="P92" s="134">
        <v>0</v>
      </c>
      <c r="Q92" s="140">
        <v>0</v>
      </c>
      <c r="R92" s="139">
        <v>5</v>
      </c>
      <c r="S92" s="134">
        <v>80</v>
      </c>
      <c r="T92" s="134">
        <v>1000</v>
      </c>
      <c r="U92" s="134">
        <v>10</v>
      </c>
      <c r="V92" s="140">
        <v>0</v>
      </c>
      <c r="W92" s="79"/>
    </row>
    <row r="93" spans="1:23" s="4" customFormat="1" ht="17.100000000000001" customHeight="1" x14ac:dyDescent="0.3">
      <c r="A93" s="139">
        <v>10056</v>
      </c>
      <c r="B93" s="135" t="s">
        <v>88</v>
      </c>
      <c r="C93" s="134" t="s">
        <v>179</v>
      </c>
      <c r="D93" s="134">
        <v>3</v>
      </c>
      <c r="E93" s="134" t="b">
        <v>0</v>
      </c>
      <c r="F93" s="134">
        <v>80</v>
      </c>
      <c r="G93" s="134" t="s">
        <v>46</v>
      </c>
      <c r="H93" s="137">
        <v>2</v>
      </c>
      <c r="I93" s="137">
        <v>0.6</v>
      </c>
      <c r="J93" s="134" t="s">
        <v>115</v>
      </c>
      <c r="K93" s="134" t="s">
        <v>54</v>
      </c>
      <c r="L93" s="134"/>
      <c r="M93" s="134">
        <v>0</v>
      </c>
      <c r="N93" s="134">
        <v>0</v>
      </c>
      <c r="O93" s="134">
        <v>0</v>
      </c>
      <c r="P93" s="134">
        <v>0</v>
      </c>
      <c r="Q93" s="140">
        <v>0</v>
      </c>
      <c r="R93" s="139">
        <v>5</v>
      </c>
      <c r="S93" s="134">
        <v>80</v>
      </c>
      <c r="T93" s="134">
        <v>1000</v>
      </c>
      <c r="U93" s="134">
        <v>10</v>
      </c>
      <c r="V93" s="140">
        <v>0</v>
      </c>
      <c r="W93" s="79"/>
    </row>
    <row r="94" spans="1:23" ht="17.100000000000001" customHeight="1" x14ac:dyDescent="0.3">
      <c r="A94" s="139">
        <v>10057</v>
      </c>
      <c r="B94" s="135" t="s">
        <v>88</v>
      </c>
      <c r="C94" s="134" t="s">
        <v>180</v>
      </c>
      <c r="D94" s="134">
        <v>3</v>
      </c>
      <c r="E94" s="134" t="b">
        <v>0</v>
      </c>
      <c r="F94" s="134">
        <v>50</v>
      </c>
      <c r="G94" s="134" t="s">
        <v>46</v>
      </c>
      <c r="H94" s="137">
        <v>1</v>
      </c>
      <c r="I94" s="137">
        <v>0.7</v>
      </c>
      <c r="J94" s="134" t="s">
        <v>99</v>
      </c>
      <c r="K94" s="134" t="s">
        <v>54</v>
      </c>
      <c r="L94" s="134"/>
      <c r="M94" s="134">
        <v>0</v>
      </c>
      <c r="N94" s="134">
        <v>0</v>
      </c>
      <c r="O94" s="134">
        <v>0</v>
      </c>
      <c r="P94" s="134">
        <v>0</v>
      </c>
      <c r="Q94" s="140">
        <v>0</v>
      </c>
      <c r="R94" s="139">
        <v>5</v>
      </c>
      <c r="S94" s="134">
        <v>50</v>
      </c>
      <c r="T94" s="134">
        <v>500</v>
      </c>
      <c r="U94" s="134">
        <v>5</v>
      </c>
      <c r="V94" s="140">
        <v>0</v>
      </c>
      <c r="W94" s="15"/>
    </row>
    <row r="95" spans="1:23" ht="17.100000000000001" customHeight="1" x14ac:dyDescent="0.3">
      <c r="A95" s="139">
        <v>10058</v>
      </c>
      <c r="B95" s="135" t="s">
        <v>88</v>
      </c>
      <c r="C95" s="134" t="s">
        <v>181</v>
      </c>
      <c r="D95" s="134">
        <v>3</v>
      </c>
      <c r="E95" s="134" t="b">
        <v>0</v>
      </c>
      <c r="F95" s="134">
        <v>80</v>
      </c>
      <c r="G95" s="134" t="s">
        <v>46</v>
      </c>
      <c r="H95" s="137">
        <v>2</v>
      </c>
      <c r="I95" s="137">
        <v>0.6</v>
      </c>
      <c r="J95" s="134" t="s">
        <v>115</v>
      </c>
      <c r="K95" s="134" t="s">
        <v>54</v>
      </c>
      <c r="L95" s="134"/>
      <c r="M95" s="134">
        <v>0</v>
      </c>
      <c r="N95" s="134">
        <v>0</v>
      </c>
      <c r="O95" s="134">
        <v>0</v>
      </c>
      <c r="P95" s="134">
        <v>0</v>
      </c>
      <c r="Q95" s="140">
        <v>0</v>
      </c>
      <c r="R95" s="139">
        <v>5</v>
      </c>
      <c r="S95" s="134">
        <v>80</v>
      </c>
      <c r="T95" s="134">
        <v>1000</v>
      </c>
      <c r="U95" s="134">
        <v>10</v>
      </c>
      <c r="V95" s="140">
        <v>0</v>
      </c>
      <c r="W95" s="15"/>
    </row>
    <row r="96" spans="1:23" ht="17.100000000000001" customHeight="1" x14ac:dyDescent="0.3">
      <c r="A96" s="139">
        <v>10059</v>
      </c>
      <c r="B96" s="135" t="s">
        <v>88</v>
      </c>
      <c r="C96" s="134" t="s">
        <v>182</v>
      </c>
      <c r="D96" s="134">
        <v>3</v>
      </c>
      <c r="E96" s="134" t="b">
        <v>0</v>
      </c>
      <c r="F96" s="134">
        <v>140</v>
      </c>
      <c r="G96" s="134" t="s">
        <v>127</v>
      </c>
      <c r="H96" s="136" t="s">
        <v>112</v>
      </c>
      <c r="I96" s="137">
        <v>0.4</v>
      </c>
      <c r="J96" s="134" t="s">
        <v>155</v>
      </c>
      <c r="K96" s="134" t="s">
        <v>137</v>
      </c>
      <c r="L96" s="134"/>
      <c r="M96" s="134">
        <v>0</v>
      </c>
      <c r="N96" s="134">
        <v>0</v>
      </c>
      <c r="O96" s="134">
        <v>0</v>
      </c>
      <c r="P96" s="134">
        <v>0</v>
      </c>
      <c r="Q96" s="140">
        <v>0</v>
      </c>
      <c r="R96" s="139">
        <v>5</v>
      </c>
      <c r="S96" s="134">
        <v>120</v>
      </c>
      <c r="T96" s="134">
        <v>2000</v>
      </c>
      <c r="U96" s="134">
        <v>15</v>
      </c>
      <c r="V96" s="140">
        <v>5</v>
      </c>
      <c r="W96" s="15"/>
    </row>
    <row r="97" spans="1:23" ht="17.100000000000001" customHeight="1" x14ac:dyDescent="0.3">
      <c r="A97" s="139">
        <v>10060</v>
      </c>
      <c r="B97" s="135" t="s">
        <v>88</v>
      </c>
      <c r="C97" s="134" t="s">
        <v>183</v>
      </c>
      <c r="D97" s="134">
        <v>3</v>
      </c>
      <c r="E97" s="134" t="b">
        <v>0</v>
      </c>
      <c r="F97" s="134">
        <v>85</v>
      </c>
      <c r="G97" s="134" t="s">
        <v>46</v>
      </c>
      <c r="H97" s="137">
        <v>2</v>
      </c>
      <c r="I97" s="137">
        <v>0.6</v>
      </c>
      <c r="J97" s="134" t="s">
        <v>119</v>
      </c>
      <c r="K97" s="134" t="s">
        <v>102</v>
      </c>
      <c r="L97" s="134"/>
      <c r="M97" s="134">
        <v>0</v>
      </c>
      <c r="N97" s="134">
        <v>0</v>
      </c>
      <c r="O97" s="134">
        <v>0</v>
      </c>
      <c r="P97" s="134">
        <v>0</v>
      </c>
      <c r="Q97" s="140">
        <v>0</v>
      </c>
      <c r="R97" s="139">
        <v>5</v>
      </c>
      <c r="S97" s="134">
        <v>80</v>
      </c>
      <c r="T97" s="134">
        <v>1000</v>
      </c>
      <c r="U97" s="134">
        <v>10</v>
      </c>
      <c r="V97" s="140">
        <v>0</v>
      </c>
      <c r="W97" s="15"/>
    </row>
    <row r="98" spans="1:23" ht="17.100000000000001" customHeight="1" x14ac:dyDescent="0.3">
      <c r="A98" s="139">
        <v>10061</v>
      </c>
      <c r="B98" s="135" t="s">
        <v>88</v>
      </c>
      <c r="C98" s="134" t="s">
        <v>184</v>
      </c>
      <c r="D98" s="134">
        <v>3</v>
      </c>
      <c r="E98" s="134" t="b">
        <v>0</v>
      </c>
      <c r="F98" s="134">
        <v>135</v>
      </c>
      <c r="G98" s="134" t="s">
        <v>127</v>
      </c>
      <c r="H98" s="136" t="s">
        <v>112</v>
      </c>
      <c r="I98" s="137">
        <v>0.4</v>
      </c>
      <c r="J98" s="134" t="s">
        <v>136</v>
      </c>
      <c r="K98" s="134" t="s">
        <v>137</v>
      </c>
      <c r="L98" s="134"/>
      <c r="M98" s="134">
        <v>0</v>
      </c>
      <c r="N98" s="134">
        <v>0</v>
      </c>
      <c r="O98" s="134">
        <v>0</v>
      </c>
      <c r="P98" s="134">
        <v>0</v>
      </c>
      <c r="Q98" s="140">
        <v>0</v>
      </c>
      <c r="R98" s="139">
        <v>5</v>
      </c>
      <c r="S98" s="134">
        <v>120</v>
      </c>
      <c r="T98" s="134">
        <v>2000</v>
      </c>
      <c r="U98" s="134">
        <v>15</v>
      </c>
      <c r="V98" s="140">
        <v>5</v>
      </c>
      <c r="W98" s="15"/>
    </row>
    <row r="99" spans="1:23" ht="17.100000000000001" customHeight="1" x14ac:dyDescent="0.3">
      <c r="A99" s="139">
        <v>10062</v>
      </c>
      <c r="B99" s="135" t="s">
        <v>88</v>
      </c>
      <c r="C99" s="134" t="s">
        <v>185</v>
      </c>
      <c r="D99" s="134">
        <v>3</v>
      </c>
      <c r="E99" s="134" t="b">
        <v>0</v>
      </c>
      <c r="F99" s="134">
        <v>95</v>
      </c>
      <c r="G99" s="134" t="s">
        <v>46</v>
      </c>
      <c r="H99" s="137">
        <v>2</v>
      </c>
      <c r="I99" s="137">
        <v>0.6</v>
      </c>
      <c r="J99" s="134" t="s">
        <v>157</v>
      </c>
      <c r="K99" s="134" t="s">
        <v>102</v>
      </c>
      <c r="L99" s="134"/>
      <c r="M99" s="134">
        <v>0</v>
      </c>
      <c r="N99" s="134">
        <v>0</v>
      </c>
      <c r="O99" s="134">
        <v>0</v>
      </c>
      <c r="P99" s="134">
        <v>0</v>
      </c>
      <c r="Q99" s="140">
        <v>0</v>
      </c>
      <c r="R99" s="139">
        <v>5</v>
      </c>
      <c r="S99" s="134">
        <v>80</v>
      </c>
      <c r="T99" s="134">
        <v>1000</v>
      </c>
      <c r="U99" s="134">
        <v>10</v>
      </c>
      <c r="V99" s="140">
        <v>0</v>
      </c>
      <c r="W99" s="15"/>
    </row>
    <row r="100" spans="1:23" ht="17.100000000000001" customHeight="1" x14ac:dyDescent="0.3">
      <c r="A100" s="139">
        <v>10063</v>
      </c>
      <c r="B100" s="135" t="s">
        <v>88</v>
      </c>
      <c r="C100" s="134" t="s">
        <v>186</v>
      </c>
      <c r="D100" s="134">
        <v>3</v>
      </c>
      <c r="E100" s="134" t="b">
        <v>0</v>
      </c>
      <c r="F100" s="134">
        <v>115</v>
      </c>
      <c r="G100" s="134" t="s">
        <v>127</v>
      </c>
      <c r="H100" s="137">
        <v>2</v>
      </c>
      <c r="I100" s="137">
        <v>0.5</v>
      </c>
      <c r="J100" s="134" t="s">
        <v>187</v>
      </c>
      <c r="K100" s="134" t="s">
        <v>137</v>
      </c>
      <c r="L100" s="134"/>
      <c r="M100" s="134">
        <v>0</v>
      </c>
      <c r="N100" s="134">
        <v>0</v>
      </c>
      <c r="O100" s="134">
        <v>0</v>
      </c>
      <c r="P100" s="134">
        <v>0</v>
      </c>
      <c r="Q100" s="140">
        <v>0</v>
      </c>
      <c r="R100" s="139">
        <v>5</v>
      </c>
      <c r="S100" s="134">
        <v>80</v>
      </c>
      <c r="T100" s="134">
        <v>1000</v>
      </c>
      <c r="U100" s="134">
        <v>10</v>
      </c>
      <c r="V100" s="140">
        <v>0</v>
      </c>
      <c r="W100" s="15"/>
    </row>
    <row r="101" spans="1:23" ht="17.100000000000001" customHeight="1" x14ac:dyDescent="0.3">
      <c r="A101" s="139">
        <v>10064</v>
      </c>
      <c r="B101" s="135" t="s">
        <v>88</v>
      </c>
      <c r="C101" s="134" t="s">
        <v>188</v>
      </c>
      <c r="D101" s="134">
        <v>3</v>
      </c>
      <c r="E101" s="134" t="b">
        <v>0</v>
      </c>
      <c r="F101" s="134">
        <v>180</v>
      </c>
      <c r="G101" s="134" t="s">
        <v>127</v>
      </c>
      <c r="H101" s="137">
        <v>3</v>
      </c>
      <c r="I101" s="137">
        <v>0.2</v>
      </c>
      <c r="J101" s="134" t="s">
        <v>189</v>
      </c>
      <c r="K101" s="134" t="s">
        <v>129</v>
      </c>
      <c r="L101" s="134"/>
      <c r="M101" s="134">
        <v>0</v>
      </c>
      <c r="N101" s="134">
        <v>0</v>
      </c>
      <c r="O101" s="134">
        <v>0</v>
      </c>
      <c r="P101" s="134">
        <v>3</v>
      </c>
      <c r="Q101" s="140">
        <v>0</v>
      </c>
      <c r="R101" s="139">
        <v>5</v>
      </c>
      <c r="S101" s="134">
        <v>230</v>
      </c>
      <c r="T101" s="134">
        <v>5500</v>
      </c>
      <c r="U101" s="134">
        <v>40</v>
      </c>
      <c r="V101" s="140">
        <v>20</v>
      </c>
      <c r="W101" s="15"/>
    </row>
    <row r="102" spans="1:23" ht="17.100000000000001" customHeight="1" x14ac:dyDescent="0.3">
      <c r="A102" s="139">
        <v>10065</v>
      </c>
      <c r="B102" s="135" t="s">
        <v>88</v>
      </c>
      <c r="C102" s="134" t="s">
        <v>190</v>
      </c>
      <c r="D102" s="134">
        <v>3</v>
      </c>
      <c r="E102" s="134" t="b">
        <v>0</v>
      </c>
      <c r="F102" s="134">
        <v>140</v>
      </c>
      <c r="G102" s="134" t="s">
        <v>127</v>
      </c>
      <c r="H102" s="134" t="s">
        <v>112</v>
      </c>
      <c r="I102" s="137">
        <v>0.4</v>
      </c>
      <c r="J102" s="134" t="s">
        <v>155</v>
      </c>
      <c r="K102" s="134" t="s">
        <v>137</v>
      </c>
      <c r="L102" s="134"/>
      <c r="M102" s="134">
        <v>0</v>
      </c>
      <c r="N102" s="134">
        <v>0</v>
      </c>
      <c r="O102" s="134">
        <v>0</v>
      </c>
      <c r="P102" s="134">
        <v>0</v>
      </c>
      <c r="Q102" s="140">
        <v>0</v>
      </c>
      <c r="R102" s="139">
        <v>5</v>
      </c>
      <c r="S102" s="134">
        <v>120</v>
      </c>
      <c r="T102" s="134">
        <v>2000</v>
      </c>
      <c r="U102" s="134">
        <v>15</v>
      </c>
      <c r="V102" s="140">
        <v>5</v>
      </c>
      <c r="W102" s="15"/>
    </row>
    <row r="103" spans="1:23" ht="17.100000000000001" customHeight="1" x14ac:dyDescent="0.3">
      <c r="A103" s="139">
        <v>10066</v>
      </c>
      <c r="B103" s="135" t="s">
        <v>88</v>
      </c>
      <c r="C103" s="134" t="s">
        <v>191</v>
      </c>
      <c r="D103" s="134">
        <v>3</v>
      </c>
      <c r="E103" s="134" t="b">
        <v>0</v>
      </c>
      <c r="F103" s="134">
        <v>130</v>
      </c>
      <c r="G103" s="134" t="s">
        <v>127</v>
      </c>
      <c r="H103" s="134" t="s">
        <v>112</v>
      </c>
      <c r="I103" s="137">
        <v>0.4</v>
      </c>
      <c r="J103" s="134" t="s">
        <v>139</v>
      </c>
      <c r="K103" s="134" t="s">
        <v>137</v>
      </c>
      <c r="L103" s="134"/>
      <c r="M103" s="134">
        <v>0</v>
      </c>
      <c r="N103" s="134">
        <v>0</v>
      </c>
      <c r="O103" s="134">
        <v>0</v>
      </c>
      <c r="P103" s="134">
        <v>0</v>
      </c>
      <c r="Q103" s="140">
        <v>0</v>
      </c>
      <c r="R103" s="139">
        <v>5</v>
      </c>
      <c r="S103" s="134">
        <v>120</v>
      </c>
      <c r="T103" s="134">
        <v>2000</v>
      </c>
      <c r="U103" s="134">
        <v>15</v>
      </c>
      <c r="V103" s="140">
        <v>5</v>
      </c>
      <c r="W103" s="15"/>
    </row>
    <row r="104" spans="1:23" ht="17.100000000000001" customHeight="1" x14ac:dyDescent="0.3">
      <c r="A104" s="139">
        <v>10067</v>
      </c>
      <c r="B104" s="135" t="s">
        <v>88</v>
      </c>
      <c r="C104" s="134" t="s">
        <v>192</v>
      </c>
      <c r="D104" s="134">
        <v>3</v>
      </c>
      <c r="E104" s="134" t="b">
        <v>0</v>
      </c>
      <c r="F104" s="134">
        <v>100</v>
      </c>
      <c r="G104" s="134" t="s">
        <v>127</v>
      </c>
      <c r="H104" s="137">
        <v>2</v>
      </c>
      <c r="I104" s="137">
        <v>0.5</v>
      </c>
      <c r="J104" s="134" t="s">
        <v>146</v>
      </c>
      <c r="K104" s="134" t="s">
        <v>137</v>
      </c>
      <c r="L104" s="134"/>
      <c r="M104" s="134">
        <v>0</v>
      </c>
      <c r="N104" s="134">
        <v>0</v>
      </c>
      <c r="O104" s="134">
        <v>0</v>
      </c>
      <c r="P104" s="134">
        <v>0</v>
      </c>
      <c r="Q104" s="140">
        <v>0</v>
      </c>
      <c r="R104" s="139">
        <v>5</v>
      </c>
      <c r="S104" s="134">
        <v>80</v>
      </c>
      <c r="T104" s="134">
        <v>1000</v>
      </c>
      <c r="U104" s="134">
        <v>10</v>
      </c>
      <c r="V104" s="140">
        <v>0</v>
      </c>
      <c r="W104" s="15"/>
    </row>
    <row r="105" spans="1:23" ht="17.100000000000001" customHeight="1" x14ac:dyDescent="0.3">
      <c r="A105" s="139">
        <v>10068</v>
      </c>
      <c r="B105" s="135" t="s">
        <v>88</v>
      </c>
      <c r="C105" s="134" t="s">
        <v>193</v>
      </c>
      <c r="D105" s="134">
        <v>3</v>
      </c>
      <c r="E105" s="134" t="b">
        <v>0</v>
      </c>
      <c r="F105" s="134">
        <v>110</v>
      </c>
      <c r="G105" s="134" t="s">
        <v>127</v>
      </c>
      <c r="H105" s="137">
        <v>2</v>
      </c>
      <c r="I105" s="137">
        <v>0.5</v>
      </c>
      <c r="J105" s="134" t="s">
        <v>160</v>
      </c>
      <c r="K105" s="134" t="s">
        <v>137</v>
      </c>
      <c r="L105" s="134"/>
      <c r="M105" s="134">
        <v>0</v>
      </c>
      <c r="N105" s="134">
        <v>0</v>
      </c>
      <c r="O105" s="134">
        <v>0</v>
      </c>
      <c r="P105" s="134">
        <v>0</v>
      </c>
      <c r="Q105" s="140">
        <v>0</v>
      </c>
      <c r="R105" s="139">
        <v>5</v>
      </c>
      <c r="S105" s="134">
        <v>80</v>
      </c>
      <c r="T105" s="134">
        <v>1000</v>
      </c>
      <c r="U105" s="134">
        <v>10</v>
      </c>
      <c r="V105" s="140">
        <v>0</v>
      </c>
      <c r="W105" s="15"/>
    </row>
    <row r="106" spans="1:23" ht="17.100000000000001" customHeight="1" x14ac:dyDescent="0.3">
      <c r="A106" s="139">
        <v>10069</v>
      </c>
      <c r="B106" s="135" t="s">
        <v>88</v>
      </c>
      <c r="C106" s="134" t="s">
        <v>194</v>
      </c>
      <c r="D106" s="134">
        <v>3</v>
      </c>
      <c r="E106" s="134" t="b">
        <v>0</v>
      </c>
      <c r="F106" s="134">
        <v>170</v>
      </c>
      <c r="G106" s="134" t="s">
        <v>127</v>
      </c>
      <c r="H106" s="137">
        <v>3</v>
      </c>
      <c r="I106" s="137">
        <v>0.3</v>
      </c>
      <c r="J106" s="134" t="s">
        <v>148</v>
      </c>
      <c r="K106" s="134" t="s">
        <v>129</v>
      </c>
      <c r="L106" s="134"/>
      <c r="M106" s="134">
        <v>0</v>
      </c>
      <c r="N106" s="134">
        <v>0</v>
      </c>
      <c r="O106" s="134">
        <v>0</v>
      </c>
      <c r="P106" s="134">
        <v>2</v>
      </c>
      <c r="Q106" s="140">
        <v>0</v>
      </c>
      <c r="R106" s="139">
        <v>5</v>
      </c>
      <c r="S106" s="134">
        <v>170</v>
      </c>
      <c r="T106" s="134">
        <v>3500</v>
      </c>
      <c r="U106" s="134">
        <v>25</v>
      </c>
      <c r="V106" s="140">
        <v>10</v>
      </c>
      <c r="W106" s="15"/>
    </row>
    <row r="107" spans="1:23" ht="17.100000000000001" customHeight="1" x14ac:dyDescent="0.3">
      <c r="A107" s="139">
        <v>10070</v>
      </c>
      <c r="B107" s="135" t="s">
        <v>88</v>
      </c>
      <c r="C107" s="134" t="s">
        <v>195</v>
      </c>
      <c r="D107" s="134">
        <v>3</v>
      </c>
      <c r="E107" s="134" t="b">
        <v>0</v>
      </c>
      <c r="F107" s="134">
        <v>95</v>
      </c>
      <c r="G107" s="134" t="s">
        <v>127</v>
      </c>
      <c r="H107" s="137">
        <v>2</v>
      </c>
      <c r="I107" s="137">
        <v>0.5</v>
      </c>
      <c r="J107" s="134" t="s">
        <v>196</v>
      </c>
      <c r="K107" s="134" t="s">
        <v>137</v>
      </c>
      <c r="L107" s="134"/>
      <c r="M107" s="134">
        <v>0</v>
      </c>
      <c r="N107" s="134">
        <v>0</v>
      </c>
      <c r="O107" s="134">
        <v>0</v>
      </c>
      <c r="P107" s="134">
        <v>0</v>
      </c>
      <c r="Q107" s="140">
        <v>0</v>
      </c>
      <c r="R107" s="139">
        <v>5</v>
      </c>
      <c r="S107" s="134">
        <v>80</v>
      </c>
      <c r="T107" s="134">
        <v>1000</v>
      </c>
      <c r="U107" s="134">
        <v>10</v>
      </c>
      <c r="V107" s="140">
        <v>0</v>
      </c>
      <c r="W107" s="15"/>
    </row>
    <row r="108" spans="1:23" ht="17.100000000000001" customHeight="1" x14ac:dyDescent="0.3">
      <c r="A108" s="139">
        <v>10071</v>
      </c>
      <c r="B108" s="135" t="s">
        <v>88</v>
      </c>
      <c r="C108" s="134" t="s">
        <v>197</v>
      </c>
      <c r="D108" s="134">
        <v>3</v>
      </c>
      <c r="E108" s="134" t="b">
        <v>0</v>
      </c>
      <c r="F108" s="134">
        <v>115</v>
      </c>
      <c r="G108" s="134" t="s">
        <v>127</v>
      </c>
      <c r="H108" s="137">
        <v>2</v>
      </c>
      <c r="I108" s="137">
        <v>0.5</v>
      </c>
      <c r="J108" s="134" t="s">
        <v>187</v>
      </c>
      <c r="K108" s="134" t="s">
        <v>137</v>
      </c>
      <c r="L108" s="134"/>
      <c r="M108" s="134">
        <v>0</v>
      </c>
      <c r="N108" s="134">
        <v>0</v>
      </c>
      <c r="O108" s="134">
        <v>0</v>
      </c>
      <c r="P108" s="134">
        <v>0</v>
      </c>
      <c r="Q108" s="140">
        <v>0</v>
      </c>
      <c r="R108" s="139">
        <v>5</v>
      </c>
      <c r="S108" s="134">
        <v>80</v>
      </c>
      <c r="T108" s="134">
        <v>1000</v>
      </c>
      <c r="U108" s="134">
        <v>10</v>
      </c>
      <c r="V108" s="140">
        <v>0</v>
      </c>
      <c r="W108" s="15"/>
    </row>
    <row r="109" spans="1:23" ht="17.100000000000001" customHeight="1" x14ac:dyDescent="0.3">
      <c r="A109" s="139">
        <v>10072</v>
      </c>
      <c r="B109" s="135" t="s">
        <v>88</v>
      </c>
      <c r="C109" s="134" t="s">
        <v>198</v>
      </c>
      <c r="D109" s="134">
        <v>3</v>
      </c>
      <c r="E109" s="134" t="b">
        <v>0</v>
      </c>
      <c r="F109" s="134">
        <v>90</v>
      </c>
      <c r="G109" s="134" t="s">
        <v>46</v>
      </c>
      <c r="H109" s="137">
        <v>2</v>
      </c>
      <c r="I109" s="137">
        <v>0.6</v>
      </c>
      <c r="J109" s="134" t="s">
        <v>104</v>
      </c>
      <c r="K109" s="134" t="s">
        <v>102</v>
      </c>
      <c r="L109" s="134"/>
      <c r="M109" s="134">
        <v>0</v>
      </c>
      <c r="N109" s="134">
        <v>0</v>
      </c>
      <c r="O109" s="134">
        <v>0</v>
      </c>
      <c r="P109" s="134">
        <v>0</v>
      </c>
      <c r="Q109" s="140">
        <v>0</v>
      </c>
      <c r="R109" s="139">
        <v>5</v>
      </c>
      <c r="S109" s="134">
        <v>80</v>
      </c>
      <c r="T109" s="134">
        <v>1000</v>
      </c>
      <c r="U109" s="134">
        <v>10</v>
      </c>
      <c r="V109" s="140">
        <v>0</v>
      </c>
      <c r="W109" s="15"/>
    </row>
    <row r="110" spans="1:23" ht="17.100000000000001" customHeight="1" x14ac:dyDescent="0.3">
      <c r="A110" s="139">
        <v>10073</v>
      </c>
      <c r="B110" s="135" t="s">
        <v>88</v>
      </c>
      <c r="C110" s="134" t="s">
        <v>199</v>
      </c>
      <c r="D110" s="134">
        <v>3</v>
      </c>
      <c r="E110" s="134" t="b">
        <v>0</v>
      </c>
      <c r="F110" s="134">
        <v>70</v>
      </c>
      <c r="G110" s="134" t="s">
        <v>46</v>
      </c>
      <c r="H110" s="137">
        <v>2</v>
      </c>
      <c r="I110" s="137">
        <v>0.6</v>
      </c>
      <c r="J110" s="134" t="s">
        <v>96</v>
      </c>
      <c r="K110" s="134" t="s">
        <v>54</v>
      </c>
      <c r="L110" s="134"/>
      <c r="M110" s="134">
        <v>0</v>
      </c>
      <c r="N110" s="134">
        <v>0</v>
      </c>
      <c r="O110" s="134">
        <v>0</v>
      </c>
      <c r="P110" s="134">
        <v>0</v>
      </c>
      <c r="Q110" s="140">
        <v>0</v>
      </c>
      <c r="R110" s="139">
        <v>5</v>
      </c>
      <c r="S110" s="134">
        <v>80</v>
      </c>
      <c r="T110" s="134">
        <v>1000</v>
      </c>
      <c r="U110" s="134">
        <v>10</v>
      </c>
      <c r="V110" s="140">
        <v>0</v>
      </c>
      <c r="W110" s="15"/>
    </row>
    <row r="111" spans="1:23" ht="17.100000000000001" customHeight="1" x14ac:dyDescent="0.3">
      <c r="A111" s="139">
        <v>10074</v>
      </c>
      <c r="B111" s="135" t="s">
        <v>88</v>
      </c>
      <c r="C111" s="134" t="s">
        <v>200</v>
      </c>
      <c r="D111" s="134">
        <v>3</v>
      </c>
      <c r="E111" s="134" t="b">
        <v>0</v>
      </c>
      <c r="F111" s="134">
        <v>185</v>
      </c>
      <c r="G111" s="134" t="s">
        <v>127</v>
      </c>
      <c r="H111" s="137">
        <v>3</v>
      </c>
      <c r="I111" s="137">
        <v>0.2</v>
      </c>
      <c r="J111" s="134" t="s">
        <v>142</v>
      </c>
      <c r="K111" s="134" t="s">
        <v>129</v>
      </c>
      <c r="L111" s="134"/>
      <c r="M111" s="134">
        <v>0</v>
      </c>
      <c r="N111" s="134">
        <v>0</v>
      </c>
      <c r="O111" s="134">
        <v>0</v>
      </c>
      <c r="P111" s="134">
        <v>4</v>
      </c>
      <c r="Q111" s="140">
        <v>0</v>
      </c>
      <c r="R111" s="139">
        <v>5</v>
      </c>
      <c r="S111" s="134">
        <v>230</v>
      </c>
      <c r="T111" s="134">
        <v>5500</v>
      </c>
      <c r="U111" s="134">
        <v>40</v>
      </c>
      <c r="V111" s="140">
        <v>20</v>
      </c>
      <c r="W111" s="15"/>
    </row>
    <row r="112" spans="1:23" ht="17.100000000000001" customHeight="1" x14ac:dyDescent="0.3">
      <c r="A112" s="139">
        <v>10075</v>
      </c>
      <c r="B112" s="135" t="s">
        <v>88</v>
      </c>
      <c r="C112" s="134" t="s">
        <v>201</v>
      </c>
      <c r="D112" s="134">
        <v>3</v>
      </c>
      <c r="E112" s="134" t="b">
        <v>0</v>
      </c>
      <c r="F112" s="134">
        <v>105</v>
      </c>
      <c r="G112" s="134" t="s">
        <v>127</v>
      </c>
      <c r="H112" s="137">
        <v>2</v>
      </c>
      <c r="I112" s="137">
        <v>0.5</v>
      </c>
      <c r="J112" s="134" t="s">
        <v>176</v>
      </c>
      <c r="K112" s="134" t="s">
        <v>137</v>
      </c>
      <c r="L112" s="134"/>
      <c r="M112" s="134">
        <v>0</v>
      </c>
      <c r="N112" s="134">
        <v>0</v>
      </c>
      <c r="O112" s="134">
        <v>0</v>
      </c>
      <c r="P112" s="134">
        <v>0</v>
      </c>
      <c r="Q112" s="140">
        <v>0</v>
      </c>
      <c r="R112" s="139">
        <v>5</v>
      </c>
      <c r="S112" s="134">
        <v>80</v>
      </c>
      <c r="T112" s="134">
        <v>1000</v>
      </c>
      <c r="U112" s="134">
        <v>10</v>
      </c>
      <c r="V112" s="140">
        <v>0</v>
      </c>
      <c r="W112" s="15"/>
    </row>
    <row r="113" spans="1:23" ht="17.100000000000001" customHeight="1" x14ac:dyDescent="0.3">
      <c r="A113" s="139">
        <v>10076</v>
      </c>
      <c r="B113" s="135" t="s">
        <v>88</v>
      </c>
      <c r="C113" s="134" t="s">
        <v>202</v>
      </c>
      <c r="D113" s="134">
        <v>3</v>
      </c>
      <c r="E113" s="134" t="b">
        <v>0</v>
      </c>
      <c r="F113" s="134">
        <v>135</v>
      </c>
      <c r="G113" s="134" t="s">
        <v>127</v>
      </c>
      <c r="H113" s="134" t="s">
        <v>112</v>
      </c>
      <c r="I113" s="137">
        <v>0.4</v>
      </c>
      <c r="J113" s="134" t="s">
        <v>136</v>
      </c>
      <c r="K113" s="134" t="s">
        <v>137</v>
      </c>
      <c r="L113" s="134"/>
      <c r="M113" s="134">
        <v>0</v>
      </c>
      <c r="N113" s="134">
        <v>0</v>
      </c>
      <c r="O113" s="134">
        <v>0</v>
      </c>
      <c r="P113" s="134">
        <v>0</v>
      </c>
      <c r="Q113" s="140">
        <v>0</v>
      </c>
      <c r="R113" s="139">
        <v>5</v>
      </c>
      <c r="S113" s="134">
        <v>120</v>
      </c>
      <c r="T113" s="134">
        <v>2000</v>
      </c>
      <c r="U113" s="134">
        <v>15</v>
      </c>
      <c r="V113" s="140">
        <v>5</v>
      </c>
      <c r="W113" s="15"/>
    </row>
    <row r="114" spans="1:23" ht="17.100000000000001" customHeight="1" x14ac:dyDescent="0.3">
      <c r="A114" s="139">
        <v>10077</v>
      </c>
      <c r="B114" s="135" t="s">
        <v>88</v>
      </c>
      <c r="C114" s="134" t="s">
        <v>203</v>
      </c>
      <c r="D114" s="134">
        <v>3</v>
      </c>
      <c r="E114" s="134" t="b">
        <v>0</v>
      </c>
      <c r="F114" s="134">
        <v>115</v>
      </c>
      <c r="G114" s="134" t="s">
        <v>127</v>
      </c>
      <c r="H114" s="137">
        <v>2</v>
      </c>
      <c r="I114" s="137">
        <v>0.5</v>
      </c>
      <c r="J114" s="134" t="s">
        <v>187</v>
      </c>
      <c r="K114" s="134" t="s">
        <v>137</v>
      </c>
      <c r="L114" s="134"/>
      <c r="M114" s="134">
        <v>0</v>
      </c>
      <c r="N114" s="134">
        <v>0</v>
      </c>
      <c r="O114" s="134">
        <v>0</v>
      </c>
      <c r="P114" s="134">
        <v>0</v>
      </c>
      <c r="Q114" s="140">
        <v>0</v>
      </c>
      <c r="R114" s="139">
        <v>5</v>
      </c>
      <c r="S114" s="134">
        <v>80</v>
      </c>
      <c r="T114" s="134">
        <v>1000</v>
      </c>
      <c r="U114" s="134">
        <v>10</v>
      </c>
      <c r="V114" s="140">
        <v>0</v>
      </c>
      <c r="W114" s="15"/>
    </row>
    <row r="115" spans="1:23" ht="17.100000000000001" customHeight="1" x14ac:dyDescent="0.3">
      <c r="A115" s="139">
        <v>10078</v>
      </c>
      <c r="B115" s="135" t="s">
        <v>88</v>
      </c>
      <c r="C115" s="134" t="s">
        <v>204</v>
      </c>
      <c r="D115" s="134">
        <v>3</v>
      </c>
      <c r="E115" s="134" t="b">
        <v>0</v>
      </c>
      <c r="F115" s="134">
        <v>130</v>
      </c>
      <c r="G115" s="134" t="s">
        <v>127</v>
      </c>
      <c r="H115" s="134" t="s">
        <v>112</v>
      </c>
      <c r="I115" s="137">
        <v>0.4</v>
      </c>
      <c r="J115" s="134" t="s">
        <v>139</v>
      </c>
      <c r="K115" s="134" t="s">
        <v>137</v>
      </c>
      <c r="L115" s="134"/>
      <c r="M115" s="134">
        <v>0</v>
      </c>
      <c r="N115" s="134">
        <v>0</v>
      </c>
      <c r="O115" s="134">
        <v>0</v>
      </c>
      <c r="P115" s="134">
        <v>0</v>
      </c>
      <c r="Q115" s="140">
        <v>0</v>
      </c>
      <c r="R115" s="139">
        <v>5</v>
      </c>
      <c r="S115" s="134">
        <v>120</v>
      </c>
      <c r="T115" s="134">
        <v>2000</v>
      </c>
      <c r="U115" s="134">
        <v>15</v>
      </c>
      <c r="V115" s="140">
        <v>5</v>
      </c>
      <c r="W115" s="15"/>
    </row>
    <row r="116" spans="1:23" ht="17.100000000000001" customHeight="1" x14ac:dyDescent="0.3">
      <c r="A116" s="139">
        <v>10079</v>
      </c>
      <c r="B116" s="135" t="s">
        <v>88</v>
      </c>
      <c r="C116" s="134" t="s">
        <v>205</v>
      </c>
      <c r="D116" s="134">
        <v>3</v>
      </c>
      <c r="E116" s="134" t="b">
        <v>0</v>
      </c>
      <c r="F116" s="134">
        <v>115</v>
      </c>
      <c r="G116" s="134" t="s">
        <v>127</v>
      </c>
      <c r="H116" s="137">
        <v>2</v>
      </c>
      <c r="I116" s="137">
        <v>0.5</v>
      </c>
      <c r="J116" s="134" t="s">
        <v>187</v>
      </c>
      <c r="K116" s="134" t="s">
        <v>137</v>
      </c>
      <c r="L116" s="134"/>
      <c r="M116" s="134">
        <v>0</v>
      </c>
      <c r="N116" s="134">
        <v>0</v>
      </c>
      <c r="O116" s="134">
        <v>0</v>
      </c>
      <c r="P116" s="134">
        <v>0</v>
      </c>
      <c r="Q116" s="140">
        <v>0</v>
      </c>
      <c r="R116" s="139">
        <v>5</v>
      </c>
      <c r="S116" s="134">
        <v>80</v>
      </c>
      <c r="T116" s="134">
        <v>1000</v>
      </c>
      <c r="U116" s="134">
        <v>10</v>
      </c>
      <c r="V116" s="140">
        <v>0</v>
      </c>
      <c r="W116" s="15"/>
    </row>
    <row r="117" spans="1:23" ht="17.100000000000001" customHeight="1" x14ac:dyDescent="0.3">
      <c r="A117" s="139">
        <v>10080</v>
      </c>
      <c r="B117" s="135" t="s">
        <v>88</v>
      </c>
      <c r="C117" s="134" t="s">
        <v>206</v>
      </c>
      <c r="D117" s="134">
        <v>3</v>
      </c>
      <c r="E117" s="134" t="b">
        <v>0</v>
      </c>
      <c r="F117" s="134">
        <v>150</v>
      </c>
      <c r="G117" s="134" t="s">
        <v>127</v>
      </c>
      <c r="H117" s="134" t="s">
        <v>112</v>
      </c>
      <c r="I117" s="137">
        <v>0.4</v>
      </c>
      <c r="J117" s="134" t="s">
        <v>207</v>
      </c>
      <c r="K117" s="134" t="s">
        <v>137</v>
      </c>
      <c r="L117" s="134"/>
      <c r="M117" s="134">
        <v>0</v>
      </c>
      <c r="N117" s="134">
        <v>0</v>
      </c>
      <c r="O117" s="134">
        <v>0</v>
      </c>
      <c r="P117" s="134">
        <v>1</v>
      </c>
      <c r="Q117" s="140">
        <v>0</v>
      </c>
      <c r="R117" s="139">
        <v>5</v>
      </c>
      <c r="S117" s="134">
        <v>120</v>
      </c>
      <c r="T117" s="134">
        <v>2000</v>
      </c>
      <c r="U117" s="134">
        <v>15</v>
      </c>
      <c r="V117" s="140">
        <v>5</v>
      </c>
      <c r="W117" s="15"/>
    </row>
    <row r="118" spans="1:23" ht="17.100000000000001" customHeight="1" x14ac:dyDescent="0.3">
      <c r="A118" s="139">
        <v>10081</v>
      </c>
      <c r="B118" s="135" t="s">
        <v>88</v>
      </c>
      <c r="C118" s="134" t="s">
        <v>208</v>
      </c>
      <c r="D118" s="134">
        <v>3</v>
      </c>
      <c r="E118" s="134" t="b">
        <v>0</v>
      </c>
      <c r="F118" s="134">
        <v>135</v>
      </c>
      <c r="G118" s="134" t="s">
        <v>127</v>
      </c>
      <c r="H118" s="134" t="s">
        <v>112</v>
      </c>
      <c r="I118" s="137">
        <v>0.4</v>
      </c>
      <c r="J118" s="134" t="s">
        <v>136</v>
      </c>
      <c r="K118" s="134" t="s">
        <v>137</v>
      </c>
      <c r="L118" s="134"/>
      <c r="M118" s="134">
        <v>0</v>
      </c>
      <c r="N118" s="134">
        <v>0</v>
      </c>
      <c r="O118" s="134">
        <v>0</v>
      </c>
      <c r="P118" s="134">
        <v>0</v>
      </c>
      <c r="Q118" s="140">
        <v>0</v>
      </c>
      <c r="R118" s="139">
        <v>5</v>
      </c>
      <c r="S118" s="134">
        <v>120</v>
      </c>
      <c r="T118" s="134">
        <v>2000</v>
      </c>
      <c r="U118" s="134">
        <v>15</v>
      </c>
      <c r="V118" s="140">
        <v>5</v>
      </c>
      <c r="W118" s="15"/>
    </row>
    <row r="119" spans="1:23" ht="17.100000000000001" customHeight="1" x14ac:dyDescent="0.3">
      <c r="A119" s="139">
        <v>10082</v>
      </c>
      <c r="B119" s="135" t="s">
        <v>88</v>
      </c>
      <c r="C119" s="134" t="s">
        <v>209</v>
      </c>
      <c r="D119" s="134">
        <v>3</v>
      </c>
      <c r="E119" s="134" t="b">
        <v>0</v>
      </c>
      <c r="F119" s="134">
        <v>65</v>
      </c>
      <c r="G119" s="134" t="s">
        <v>46</v>
      </c>
      <c r="H119" s="137">
        <v>1</v>
      </c>
      <c r="I119" s="137">
        <v>0.7</v>
      </c>
      <c r="J119" s="134" t="s">
        <v>91</v>
      </c>
      <c r="K119" s="134" t="s">
        <v>54</v>
      </c>
      <c r="L119" s="134"/>
      <c r="M119" s="134">
        <v>0</v>
      </c>
      <c r="N119" s="134">
        <v>0</v>
      </c>
      <c r="O119" s="134">
        <v>0</v>
      </c>
      <c r="P119" s="134">
        <v>0</v>
      </c>
      <c r="Q119" s="140">
        <v>0</v>
      </c>
      <c r="R119" s="139">
        <v>5</v>
      </c>
      <c r="S119" s="134">
        <v>50</v>
      </c>
      <c r="T119" s="134">
        <v>500</v>
      </c>
      <c r="U119" s="134">
        <v>5</v>
      </c>
      <c r="V119" s="140">
        <v>0</v>
      </c>
      <c r="W119" s="15"/>
    </row>
    <row r="120" spans="1:23" ht="17.100000000000001" customHeight="1" x14ac:dyDescent="0.3">
      <c r="A120" s="139">
        <v>10083</v>
      </c>
      <c r="B120" s="135" t="s">
        <v>88</v>
      </c>
      <c r="C120" s="134" t="s">
        <v>210</v>
      </c>
      <c r="D120" s="134">
        <v>3</v>
      </c>
      <c r="E120" s="134" t="b">
        <v>0</v>
      </c>
      <c r="F120" s="134">
        <v>70</v>
      </c>
      <c r="G120" s="134" t="s">
        <v>46</v>
      </c>
      <c r="H120" s="137">
        <v>1</v>
      </c>
      <c r="I120" s="137">
        <v>0.6</v>
      </c>
      <c r="J120" s="134" t="s">
        <v>96</v>
      </c>
      <c r="K120" s="134" t="s">
        <v>54</v>
      </c>
      <c r="L120" s="134"/>
      <c r="M120" s="134">
        <v>0</v>
      </c>
      <c r="N120" s="134">
        <v>0</v>
      </c>
      <c r="O120" s="134">
        <v>0</v>
      </c>
      <c r="P120" s="134">
        <v>0</v>
      </c>
      <c r="Q120" s="140">
        <v>0</v>
      </c>
      <c r="R120" s="139">
        <v>5</v>
      </c>
      <c r="S120" s="134">
        <v>50</v>
      </c>
      <c r="T120" s="134">
        <v>500</v>
      </c>
      <c r="U120" s="134">
        <v>5</v>
      </c>
      <c r="V120" s="140">
        <v>0</v>
      </c>
      <c r="W120" s="15"/>
    </row>
    <row r="121" spans="1:23" ht="17.100000000000001" customHeight="1" x14ac:dyDescent="0.3">
      <c r="A121" s="139">
        <v>10084</v>
      </c>
      <c r="B121" s="135" t="s">
        <v>88</v>
      </c>
      <c r="C121" s="134" t="s">
        <v>211</v>
      </c>
      <c r="D121" s="134">
        <v>3</v>
      </c>
      <c r="E121" s="134" t="b">
        <v>0</v>
      </c>
      <c r="F121" s="134">
        <v>85</v>
      </c>
      <c r="G121" s="134" t="s">
        <v>46</v>
      </c>
      <c r="H121" s="137">
        <v>2</v>
      </c>
      <c r="I121" s="137">
        <v>0.6</v>
      </c>
      <c r="J121" s="134" t="s">
        <v>119</v>
      </c>
      <c r="K121" s="134" t="s">
        <v>102</v>
      </c>
      <c r="L121" s="134"/>
      <c r="M121" s="134">
        <v>0</v>
      </c>
      <c r="N121" s="134">
        <v>0</v>
      </c>
      <c r="O121" s="134">
        <v>0</v>
      </c>
      <c r="P121" s="134">
        <v>0</v>
      </c>
      <c r="Q121" s="140">
        <v>0</v>
      </c>
      <c r="R121" s="139">
        <v>5</v>
      </c>
      <c r="S121" s="134">
        <v>80</v>
      </c>
      <c r="T121" s="134">
        <v>1000</v>
      </c>
      <c r="U121" s="134">
        <v>10</v>
      </c>
      <c r="V121" s="140">
        <v>0</v>
      </c>
      <c r="W121" s="15"/>
    </row>
    <row r="122" spans="1:23" ht="17.100000000000001" customHeight="1" x14ac:dyDescent="0.3">
      <c r="A122" s="139">
        <v>10085</v>
      </c>
      <c r="B122" s="135" t="s">
        <v>88</v>
      </c>
      <c r="C122" s="134" t="s">
        <v>212</v>
      </c>
      <c r="D122" s="134">
        <v>3</v>
      </c>
      <c r="E122" s="134" t="b">
        <v>0</v>
      </c>
      <c r="F122" s="134">
        <v>75</v>
      </c>
      <c r="G122" s="134" t="s">
        <v>46</v>
      </c>
      <c r="H122" s="137">
        <v>2</v>
      </c>
      <c r="I122" s="137">
        <v>0.6</v>
      </c>
      <c r="J122" s="134" t="s">
        <v>213</v>
      </c>
      <c r="K122" s="134" t="s">
        <v>54</v>
      </c>
      <c r="L122" s="134"/>
      <c r="M122" s="134">
        <v>0</v>
      </c>
      <c r="N122" s="134">
        <v>0</v>
      </c>
      <c r="O122" s="134">
        <v>0</v>
      </c>
      <c r="P122" s="134">
        <v>0</v>
      </c>
      <c r="Q122" s="140">
        <v>0</v>
      </c>
      <c r="R122" s="139">
        <v>5</v>
      </c>
      <c r="S122" s="134">
        <v>80</v>
      </c>
      <c r="T122" s="134">
        <v>1000</v>
      </c>
      <c r="U122" s="134">
        <v>10</v>
      </c>
      <c r="V122" s="140">
        <v>0</v>
      </c>
      <c r="W122" s="15"/>
    </row>
    <row r="123" spans="1:23" ht="17.100000000000001" customHeight="1" x14ac:dyDescent="0.3">
      <c r="A123" s="139">
        <v>10086</v>
      </c>
      <c r="B123" s="135" t="s">
        <v>88</v>
      </c>
      <c r="C123" s="134" t="s">
        <v>214</v>
      </c>
      <c r="D123" s="134">
        <v>3</v>
      </c>
      <c r="E123" s="134" t="b">
        <v>0</v>
      </c>
      <c r="F123" s="134">
        <v>140</v>
      </c>
      <c r="G123" s="134" t="s">
        <v>127</v>
      </c>
      <c r="H123" s="134" t="s">
        <v>112</v>
      </c>
      <c r="I123" s="137">
        <v>0.4</v>
      </c>
      <c r="J123" s="134" t="s">
        <v>155</v>
      </c>
      <c r="K123" s="134" t="s">
        <v>137</v>
      </c>
      <c r="L123" s="134"/>
      <c r="M123" s="134">
        <v>0</v>
      </c>
      <c r="N123" s="134">
        <v>0</v>
      </c>
      <c r="O123" s="134">
        <v>0</v>
      </c>
      <c r="P123" s="134">
        <v>0</v>
      </c>
      <c r="Q123" s="140">
        <v>0</v>
      </c>
      <c r="R123" s="139">
        <v>5</v>
      </c>
      <c r="S123" s="134">
        <v>120</v>
      </c>
      <c r="T123" s="134">
        <v>2000</v>
      </c>
      <c r="U123" s="134">
        <v>15</v>
      </c>
      <c r="V123" s="140">
        <v>5</v>
      </c>
      <c r="W123" s="15"/>
    </row>
    <row r="124" spans="1:23" ht="17.100000000000001" customHeight="1" x14ac:dyDescent="0.3">
      <c r="A124" s="139">
        <v>10087</v>
      </c>
      <c r="B124" s="135" t="s">
        <v>88</v>
      </c>
      <c r="C124" s="134" t="s">
        <v>215</v>
      </c>
      <c r="D124" s="134">
        <v>3</v>
      </c>
      <c r="E124" s="134" t="b">
        <v>0</v>
      </c>
      <c r="F124" s="134">
        <v>160</v>
      </c>
      <c r="G124" s="134" t="s">
        <v>127</v>
      </c>
      <c r="H124" s="134" t="s">
        <v>112</v>
      </c>
      <c r="I124" s="137">
        <v>0.3</v>
      </c>
      <c r="J124" s="134" t="s">
        <v>166</v>
      </c>
      <c r="K124" s="134" t="s">
        <v>129</v>
      </c>
      <c r="L124" s="134"/>
      <c r="M124" s="134">
        <v>0</v>
      </c>
      <c r="N124" s="134">
        <v>0</v>
      </c>
      <c r="O124" s="134">
        <v>1</v>
      </c>
      <c r="P124" s="134">
        <v>2</v>
      </c>
      <c r="Q124" s="140">
        <v>0</v>
      </c>
      <c r="R124" s="139">
        <v>5</v>
      </c>
      <c r="S124" s="134">
        <v>170</v>
      </c>
      <c r="T124" s="134">
        <v>3500</v>
      </c>
      <c r="U124" s="134">
        <v>25</v>
      </c>
      <c r="V124" s="140">
        <v>10</v>
      </c>
      <c r="W124" s="15"/>
    </row>
    <row r="125" spans="1:23" ht="17.100000000000001" customHeight="1" x14ac:dyDescent="0.3">
      <c r="A125" s="139">
        <v>10088</v>
      </c>
      <c r="B125" s="135" t="s">
        <v>88</v>
      </c>
      <c r="C125" s="134" t="s">
        <v>216</v>
      </c>
      <c r="D125" s="134">
        <v>3</v>
      </c>
      <c r="E125" s="134" t="b">
        <v>0</v>
      </c>
      <c r="F125" s="134">
        <v>100</v>
      </c>
      <c r="G125" s="134" t="s">
        <v>127</v>
      </c>
      <c r="H125" s="137">
        <v>2</v>
      </c>
      <c r="I125" s="137">
        <v>0.5</v>
      </c>
      <c r="J125" s="134" t="s">
        <v>146</v>
      </c>
      <c r="K125" s="134" t="s">
        <v>137</v>
      </c>
      <c r="L125" s="134"/>
      <c r="M125" s="134">
        <v>0</v>
      </c>
      <c r="N125" s="134">
        <v>0</v>
      </c>
      <c r="O125" s="134">
        <v>0</v>
      </c>
      <c r="P125" s="134">
        <v>0</v>
      </c>
      <c r="Q125" s="140">
        <v>0</v>
      </c>
      <c r="R125" s="139">
        <v>5</v>
      </c>
      <c r="S125" s="134">
        <v>80</v>
      </c>
      <c r="T125" s="134">
        <v>1000</v>
      </c>
      <c r="U125" s="134">
        <v>10</v>
      </c>
      <c r="V125" s="140">
        <v>0</v>
      </c>
      <c r="W125" s="15"/>
    </row>
    <row r="126" spans="1:23" ht="17.100000000000001" customHeight="1" x14ac:dyDescent="0.3">
      <c r="A126" s="139">
        <v>10089</v>
      </c>
      <c r="B126" s="135" t="s">
        <v>88</v>
      </c>
      <c r="C126" s="134" t="s">
        <v>217</v>
      </c>
      <c r="D126" s="134">
        <v>3</v>
      </c>
      <c r="E126" s="134" t="b">
        <v>0</v>
      </c>
      <c r="F126" s="134">
        <v>65</v>
      </c>
      <c r="G126" s="134" t="s">
        <v>46</v>
      </c>
      <c r="H126" s="137">
        <v>1</v>
      </c>
      <c r="I126" s="137">
        <v>0.7</v>
      </c>
      <c r="J126" s="134" t="s">
        <v>91</v>
      </c>
      <c r="K126" s="134" t="s">
        <v>54</v>
      </c>
      <c r="L126" s="134"/>
      <c r="M126" s="134">
        <v>0</v>
      </c>
      <c r="N126" s="134">
        <v>0</v>
      </c>
      <c r="O126" s="134">
        <v>0</v>
      </c>
      <c r="P126" s="134">
        <v>0</v>
      </c>
      <c r="Q126" s="140">
        <v>0</v>
      </c>
      <c r="R126" s="139">
        <v>5</v>
      </c>
      <c r="S126" s="134">
        <v>50</v>
      </c>
      <c r="T126" s="134">
        <v>500</v>
      </c>
      <c r="U126" s="134">
        <v>5</v>
      </c>
      <c r="V126" s="140">
        <v>0</v>
      </c>
      <c r="W126" s="15"/>
    </row>
    <row r="127" spans="1:23" ht="17.100000000000001" customHeight="1" x14ac:dyDescent="0.3">
      <c r="A127" s="139">
        <v>10090</v>
      </c>
      <c r="B127" s="135" t="s">
        <v>88</v>
      </c>
      <c r="C127" s="134" t="s">
        <v>218</v>
      </c>
      <c r="D127" s="134">
        <v>3</v>
      </c>
      <c r="E127" s="134" t="b">
        <v>0</v>
      </c>
      <c r="F127" s="134">
        <v>150</v>
      </c>
      <c r="G127" s="134" t="s">
        <v>127</v>
      </c>
      <c r="H127" s="134" t="s">
        <v>112</v>
      </c>
      <c r="I127" s="137">
        <v>0.4</v>
      </c>
      <c r="J127" s="134" t="s">
        <v>134</v>
      </c>
      <c r="K127" s="134" t="s">
        <v>129</v>
      </c>
      <c r="L127" s="134"/>
      <c r="M127" s="134">
        <v>0</v>
      </c>
      <c r="N127" s="134">
        <v>0</v>
      </c>
      <c r="O127" s="134">
        <v>0</v>
      </c>
      <c r="P127" s="134">
        <v>1</v>
      </c>
      <c r="Q127" s="140">
        <v>0</v>
      </c>
      <c r="R127" s="139">
        <v>5</v>
      </c>
      <c r="S127" s="134">
        <v>170</v>
      </c>
      <c r="T127" s="134">
        <v>3500</v>
      </c>
      <c r="U127" s="134">
        <v>25</v>
      </c>
      <c r="V127" s="140">
        <v>10</v>
      </c>
      <c r="W127" s="15"/>
    </row>
    <row r="128" spans="1:23" ht="17.100000000000001" customHeight="1" x14ac:dyDescent="0.3">
      <c r="A128" s="139">
        <v>10091</v>
      </c>
      <c r="B128" s="135" t="s">
        <v>88</v>
      </c>
      <c r="C128" s="134" t="s">
        <v>219</v>
      </c>
      <c r="D128" s="134">
        <v>3</v>
      </c>
      <c r="E128" s="134" t="b">
        <v>0</v>
      </c>
      <c r="F128" s="134">
        <v>160</v>
      </c>
      <c r="G128" s="134" t="s">
        <v>127</v>
      </c>
      <c r="H128" s="134" t="s">
        <v>112</v>
      </c>
      <c r="I128" s="137">
        <v>0.4</v>
      </c>
      <c r="J128" s="134" t="s">
        <v>166</v>
      </c>
      <c r="K128" s="134" t="s">
        <v>129</v>
      </c>
      <c r="L128" s="134"/>
      <c r="M128" s="134">
        <v>0</v>
      </c>
      <c r="N128" s="134">
        <v>0</v>
      </c>
      <c r="O128" s="134">
        <v>1</v>
      </c>
      <c r="P128" s="134">
        <v>1</v>
      </c>
      <c r="Q128" s="140">
        <v>0</v>
      </c>
      <c r="R128" s="139">
        <v>5</v>
      </c>
      <c r="S128" s="134">
        <v>170</v>
      </c>
      <c r="T128" s="134">
        <v>3500</v>
      </c>
      <c r="U128" s="134">
        <v>25</v>
      </c>
      <c r="V128" s="140">
        <v>10</v>
      </c>
      <c r="W128" s="15"/>
    </row>
    <row r="129" spans="1:23" ht="17.100000000000001" customHeight="1" x14ac:dyDescent="0.3">
      <c r="A129" s="139">
        <v>10092</v>
      </c>
      <c r="B129" s="135" t="s">
        <v>88</v>
      </c>
      <c r="C129" s="134" t="s">
        <v>220</v>
      </c>
      <c r="D129" s="134">
        <v>3</v>
      </c>
      <c r="E129" s="134" t="b">
        <v>0</v>
      </c>
      <c r="F129" s="134">
        <v>105</v>
      </c>
      <c r="G129" s="134" t="s">
        <v>127</v>
      </c>
      <c r="H129" s="137">
        <v>2</v>
      </c>
      <c r="I129" s="137">
        <v>0.5</v>
      </c>
      <c r="J129" s="134" t="s">
        <v>176</v>
      </c>
      <c r="K129" s="134" t="s">
        <v>137</v>
      </c>
      <c r="L129" s="134"/>
      <c r="M129" s="134">
        <v>0</v>
      </c>
      <c r="N129" s="134">
        <v>0</v>
      </c>
      <c r="O129" s="134">
        <v>0</v>
      </c>
      <c r="P129" s="134">
        <v>0</v>
      </c>
      <c r="Q129" s="140">
        <v>0</v>
      </c>
      <c r="R129" s="139">
        <v>5</v>
      </c>
      <c r="S129" s="134">
        <v>80</v>
      </c>
      <c r="T129" s="134">
        <v>1000</v>
      </c>
      <c r="U129" s="134">
        <v>10</v>
      </c>
      <c r="V129" s="140">
        <v>0</v>
      </c>
      <c r="W129" s="15"/>
    </row>
    <row r="130" spans="1:23" ht="17.100000000000001" customHeight="1" x14ac:dyDescent="0.3">
      <c r="A130" s="139">
        <v>10093</v>
      </c>
      <c r="B130" s="135" t="s">
        <v>88</v>
      </c>
      <c r="C130" s="134" t="s">
        <v>221</v>
      </c>
      <c r="D130" s="134">
        <v>3</v>
      </c>
      <c r="E130" s="134" t="b">
        <v>0</v>
      </c>
      <c r="F130" s="134">
        <v>110</v>
      </c>
      <c r="G130" s="134" t="s">
        <v>127</v>
      </c>
      <c r="H130" s="137">
        <v>2</v>
      </c>
      <c r="I130" s="137">
        <v>0.5</v>
      </c>
      <c r="J130" s="134" t="s">
        <v>160</v>
      </c>
      <c r="K130" s="134" t="s">
        <v>137</v>
      </c>
      <c r="L130" s="134"/>
      <c r="M130" s="134">
        <v>0</v>
      </c>
      <c r="N130" s="134">
        <v>0</v>
      </c>
      <c r="O130" s="134">
        <v>0</v>
      </c>
      <c r="P130" s="134">
        <v>0</v>
      </c>
      <c r="Q130" s="140">
        <v>0</v>
      </c>
      <c r="R130" s="139">
        <v>5</v>
      </c>
      <c r="S130" s="134">
        <v>80</v>
      </c>
      <c r="T130" s="134">
        <v>1000</v>
      </c>
      <c r="U130" s="134">
        <v>10</v>
      </c>
      <c r="V130" s="140">
        <v>0</v>
      </c>
      <c r="W130" s="15"/>
    </row>
    <row r="131" spans="1:23" ht="17.100000000000001" customHeight="1" x14ac:dyDescent="0.3">
      <c r="A131" s="139">
        <v>10094</v>
      </c>
      <c r="B131" s="135" t="s">
        <v>88</v>
      </c>
      <c r="C131" s="134" t="s">
        <v>222</v>
      </c>
      <c r="D131" s="134">
        <v>3</v>
      </c>
      <c r="E131" s="134" t="b">
        <v>0</v>
      </c>
      <c r="F131" s="134">
        <v>200</v>
      </c>
      <c r="G131" s="134" t="s">
        <v>127</v>
      </c>
      <c r="H131" s="137">
        <v>3</v>
      </c>
      <c r="I131" s="137">
        <v>0.2</v>
      </c>
      <c r="J131" s="134" t="s">
        <v>223</v>
      </c>
      <c r="K131" s="134" t="s">
        <v>129</v>
      </c>
      <c r="L131" s="134"/>
      <c r="M131" s="134">
        <v>0</v>
      </c>
      <c r="N131" s="134">
        <v>0</v>
      </c>
      <c r="O131" s="134">
        <v>5</v>
      </c>
      <c r="P131" s="134">
        <v>6</v>
      </c>
      <c r="Q131" s="140">
        <v>0</v>
      </c>
      <c r="R131" s="139">
        <v>5</v>
      </c>
      <c r="S131" s="134">
        <v>230</v>
      </c>
      <c r="T131" s="134">
        <v>5500</v>
      </c>
      <c r="U131" s="134">
        <v>40</v>
      </c>
      <c r="V131" s="140">
        <v>20</v>
      </c>
      <c r="W131" s="15"/>
    </row>
    <row r="132" spans="1:23" ht="17.100000000000001" customHeight="1" x14ac:dyDescent="0.3">
      <c r="A132" s="139">
        <v>10095</v>
      </c>
      <c r="B132" s="135" t="s">
        <v>88</v>
      </c>
      <c r="C132" s="134" t="s">
        <v>224</v>
      </c>
      <c r="D132" s="134">
        <v>3</v>
      </c>
      <c r="E132" s="134" t="b">
        <v>0</v>
      </c>
      <c r="F132" s="134">
        <v>150</v>
      </c>
      <c r="G132" s="134" t="s">
        <v>127</v>
      </c>
      <c r="H132" s="134" t="s">
        <v>112</v>
      </c>
      <c r="I132" s="137">
        <v>0.4</v>
      </c>
      <c r="J132" s="134" t="s">
        <v>134</v>
      </c>
      <c r="K132" s="134" t="s">
        <v>129</v>
      </c>
      <c r="L132" s="134"/>
      <c r="M132" s="134">
        <v>0</v>
      </c>
      <c r="N132" s="134">
        <v>0</v>
      </c>
      <c r="O132" s="134">
        <v>0</v>
      </c>
      <c r="P132" s="134">
        <v>1</v>
      </c>
      <c r="Q132" s="140">
        <v>0</v>
      </c>
      <c r="R132" s="139">
        <v>5</v>
      </c>
      <c r="S132" s="134">
        <v>170</v>
      </c>
      <c r="T132" s="134">
        <v>3500</v>
      </c>
      <c r="U132" s="134">
        <v>25</v>
      </c>
      <c r="V132" s="140">
        <v>10</v>
      </c>
      <c r="W132" s="15"/>
    </row>
    <row r="133" spans="1:23" ht="17.100000000000001" customHeight="1" x14ac:dyDescent="0.3">
      <c r="A133" s="139">
        <v>10096</v>
      </c>
      <c r="B133" s="135" t="s">
        <v>88</v>
      </c>
      <c r="C133" s="134" t="s">
        <v>225</v>
      </c>
      <c r="D133" s="134">
        <v>3</v>
      </c>
      <c r="E133" s="134" t="b">
        <v>0</v>
      </c>
      <c r="F133" s="134">
        <v>65</v>
      </c>
      <c r="G133" s="134" t="s">
        <v>46</v>
      </c>
      <c r="H133" s="137">
        <v>1</v>
      </c>
      <c r="I133" s="137">
        <v>0.7</v>
      </c>
      <c r="J133" s="134" t="s">
        <v>91</v>
      </c>
      <c r="K133" s="134" t="s">
        <v>54</v>
      </c>
      <c r="L133" s="134"/>
      <c r="M133" s="134">
        <v>0</v>
      </c>
      <c r="N133" s="134">
        <v>0</v>
      </c>
      <c r="O133" s="134">
        <v>0</v>
      </c>
      <c r="P133" s="134">
        <v>0</v>
      </c>
      <c r="Q133" s="140">
        <v>0</v>
      </c>
      <c r="R133" s="139">
        <v>5</v>
      </c>
      <c r="S133" s="134">
        <v>50</v>
      </c>
      <c r="T133" s="134">
        <v>500</v>
      </c>
      <c r="U133" s="134">
        <v>5</v>
      </c>
      <c r="V133" s="140">
        <v>0</v>
      </c>
      <c r="W133" s="15"/>
    </row>
    <row r="134" spans="1:23" ht="17.100000000000001" customHeight="1" x14ac:dyDescent="0.3">
      <c r="A134" s="139">
        <v>10097</v>
      </c>
      <c r="B134" s="135" t="s">
        <v>88</v>
      </c>
      <c r="C134" s="134" t="s">
        <v>226</v>
      </c>
      <c r="D134" s="134">
        <v>3</v>
      </c>
      <c r="E134" s="134" t="b">
        <v>0</v>
      </c>
      <c r="F134" s="134">
        <v>105</v>
      </c>
      <c r="G134" s="134" t="s">
        <v>127</v>
      </c>
      <c r="H134" s="137">
        <v>2</v>
      </c>
      <c r="I134" s="137">
        <v>0.5</v>
      </c>
      <c r="J134" s="134" t="s">
        <v>176</v>
      </c>
      <c r="K134" s="134" t="s">
        <v>137</v>
      </c>
      <c r="L134" s="134"/>
      <c r="M134" s="134">
        <v>0</v>
      </c>
      <c r="N134" s="134">
        <v>0</v>
      </c>
      <c r="O134" s="134">
        <v>0</v>
      </c>
      <c r="P134" s="134">
        <v>0</v>
      </c>
      <c r="Q134" s="140">
        <v>0</v>
      </c>
      <c r="R134" s="139">
        <v>5</v>
      </c>
      <c r="S134" s="134">
        <v>80</v>
      </c>
      <c r="T134" s="134">
        <v>1000</v>
      </c>
      <c r="U134" s="134">
        <v>10</v>
      </c>
      <c r="V134" s="140">
        <v>0</v>
      </c>
      <c r="W134" s="15"/>
    </row>
    <row r="135" spans="1:23" ht="17.100000000000001" customHeight="1" x14ac:dyDescent="0.3">
      <c r="A135" s="139">
        <v>10098</v>
      </c>
      <c r="B135" s="135" t="s">
        <v>88</v>
      </c>
      <c r="C135" s="134" t="s">
        <v>227</v>
      </c>
      <c r="D135" s="134">
        <v>3</v>
      </c>
      <c r="E135" s="134" t="b">
        <v>0</v>
      </c>
      <c r="F135" s="134">
        <v>95</v>
      </c>
      <c r="G135" s="134" t="s">
        <v>127</v>
      </c>
      <c r="H135" s="137">
        <v>2</v>
      </c>
      <c r="I135" s="137">
        <v>0.5</v>
      </c>
      <c r="J135" s="134" t="s">
        <v>196</v>
      </c>
      <c r="K135" s="134" t="s">
        <v>137</v>
      </c>
      <c r="L135" s="134"/>
      <c r="M135" s="134">
        <v>0</v>
      </c>
      <c r="N135" s="134">
        <v>0</v>
      </c>
      <c r="O135" s="134">
        <v>0</v>
      </c>
      <c r="P135" s="134">
        <v>0</v>
      </c>
      <c r="Q135" s="140">
        <v>0</v>
      </c>
      <c r="R135" s="139">
        <v>5</v>
      </c>
      <c r="S135" s="134">
        <v>80</v>
      </c>
      <c r="T135" s="134">
        <v>1000</v>
      </c>
      <c r="U135" s="134">
        <v>10</v>
      </c>
      <c r="V135" s="140">
        <v>0</v>
      </c>
      <c r="W135" s="15"/>
    </row>
    <row r="136" spans="1:23" ht="17.100000000000001" customHeight="1" x14ac:dyDescent="0.3">
      <c r="A136" s="139">
        <v>10099</v>
      </c>
      <c r="B136" s="135" t="s">
        <v>88</v>
      </c>
      <c r="C136" s="134" t="s">
        <v>228</v>
      </c>
      <c r="D136" s="134">
        <v>3</v>
      </c>
      <c r="E136" s="134" t="b">
        <v>0</v>
      </c>
      <c r="F136" s="134">
        <v>60</v>
      </c>
      <c r="G136" s="134" t="s">
        <v>46</v>
      </c>
      <c r="H136" s="137">
        <v>1</v>
      </c>
      <c r="I136" s="137">
        <v>0.7</v>
      </c>
      <c r="J136" s="134" t="s">
        <v>93</v>
      </c>
      <c r="K136" s="134" t="s">
        <v>54</v>
      </c>
      <c r="L136" s="134"/>
      <c r="M136" s="134">
        <v>0</v>
      </c>
      <c r="N136" s="134">
        <v>0</v>
      </c>
      <c r="O136" s="134">
        <v>0</v>
      </c>
      <c r="P136" s="134">
        <v>0</v>
      </c>
      <c r="Q136" s="140">
        <v>0</v>
      </c>
      <c r="R136" s="139">
        <v>5</v>
      </c>
      <c r="S136" s="134">
        <v>50</v>
      </c>
      <c r="T136" s="134">
        <v>500</v>
      </c>
      <c r="U136" s="134">
        <v>5</v>
      </c>
      <c r="V136" s="140">
        <v>0</v>
      </c>
      <c r="W136" s="15"/>
    </row>
    <row r="137" spans="1:23" ht="17.100000000000001" customHeight="1" x14ac:dyDescent="0.3">
      <c r="A137" s="139">
        <v>10100</v>
      </c>
      <c r="B137" s="135" t="s">
        <v>88</v>
      </c>
      <c r="C137" s="134" t="s">
        <v>229</v>
      </c>
      <c r="D137" s="134">
        <v>3</v>
      </c>
      <c r="E137" s="134" t="b">
        <v>0</v>
      </c>
      <c r="F137" s="134">
        <v>145</v>
      </c>
      <c r="G137" s="134" t="s">
        <v>127</v>
      </c>
      <c r="H137" s="134" t="s">
        <v>112</v>
      </c>
      <c r="I137" s="137">
        <v>0.4</v>
      </c>
      <c r="J137" s="134" t="s">
        <v>172</v>
      </c>
      <c r="K137" s="134" t="s">
        <v>137</v>
      </c>
      <c r="L137" s="134"/>
      <c r="M137" s="134">
        <v>0</v>
      </c>
      <c r="N137" s="134">
        <v>0</v>
      </c>
      <c r="O137" s="134">
        <v>0</v>
      </c>
      <c r="P137" s="134">
        <v>0</v>
      </c>
      <c r="Q137" s="140">
        <v>0</v>
      </c>
      <c r="R137" s="139">
        <v>5</v>
      </c>
      <c r="S137" s="134">
        <v>120</v>
      </c>
      <c r="T137" s="134">
        <v>2000</v>
      </c>
      <c r="U137" s="134">
        <v>15</v>
      </c>
      <c r="V137" s="140">
        <v>5</v>
      </c>
      <c r="W137" s="15"/>
    </row>
    <row r="138" spans="1:23" ht="17.100000000000001" customHeight="1" x14ac:dyDescent="0.3">
      <c r="A138" s="139">
        <v>10101</v>
      </c>
      <c r="B138" s="135" t="s">
        <v>88</v>
      </c>
      <c r="C138" s="134" t="s">
        <v>230</v>
      </c>
      <c r="D138" s="134">
        <v>3</v>
      </c>
      <c r="E138" s="134" t="b">
        <v>0</v>
      </c>
      <c r="F138" s="134">
        <v>125</v>
      </c>
      <c r="G138" s="134" t="s">
        <v>127</v>
      </c>
      <c r="H138" s="137">
        <v>2</v>
      </c>
      <c r="I138" s="137">
        <v>0.5</v>
      </c>
      <c r="J138" s="134" t="s">
        <v>150</v>
      </c>
      <c r="K138" s="134" t="s">
        <v>137</v>
      </c>
      <c r="L138" s="134"/>
      <c r="M138" s="134">
        <v>0</v>
      </c>
      <c r="N138" s="134">
        <v>0</v>
      </c>
      <c r="O138" s="134">
        <v>0</v>
      </c>
      <c r="P138" s="134">
        <v>0</v>
      </c>
      <c r="Q138" s="140">
        <v>0</v>
      </c>
      <c r="R138" s="139">
        <v>5</v>
      </c>
      <c r="S138" s="134">
        <v>120</v>
      </c>
      <c r="T138" s="134">
        <v>2000</v>
      </c>
      <c r="U138" s="134">
        <v>15</v>
      </c>
      <c r="V138" s="140">
        <v>5</v>
      </c>
      <c r="W138" s="15"/>
    </row>
    <row r="139" spans="1:23" ht="17.100000000000001" customHeight="1" x14ac:dyDescent="0.3">
      <c r="A139" s="139">
        <v>10102</v>
      </c>
      <c r="B139" s="135" t="s">
        <v>88</v>
      </c>
      <c r="C139" s="134" t="s">
        <v>231</v>
      </c>
      <c r="D139" s="134">
        <v>3</v>
      </c>
      <c r="E139" s="134" t="b">
        <v>0</v>
      </c>
      <c r="F139" s="134">
        <v>135</v>
      </c>
      <c r="G139" s="134" t="s">
        <v>127</v>
      </c>
      <c r="H139" s="134" t="s">
        <v>112</v>
      </c>
      <c r="I139" s="137">
        <v>0.4</v>
      </c>
      <c r="J139" s="134" t="s">
        <v>136</v>
      </c>
      <c r="K139" s="134" t="s">
        <v>137</v>
      </c>
      <c r="L139" s="134"/>
      <c r="M139" s="134">
        <v>0</v>
      </c>
      <c r="N139" s="134">
        <v>0</v>
      </c>
      <c r="O139" s="134">
        <v>0</v>
      </c>
      <c r="P139" s="134">
        <v>0</v>
      </c>
      <c r="Q139" s="140">
        <v>0</v>
      </c>
      <c r="R139" s="139">
        <v>5</v>
      </c>
      <c r="S139" s="134">
        <v>120</v>
      </c>
      <c r="T139" s="134">
        <v>2000</v>
      </c>
      <c r="U139" s="134">
        <v>15</v>
      </c>
      <c r="V139" s="140">
        <v>5</v>
      </c>
      <c r="W139" s="15"/>
    </row>
    <row r="140" spans="1:23" ht="17.100000000000001" customHeight="1" x14ac:dyDescent="0.3">
      <c r="A140" s="139">
        <v>10103</v>
      </c>
      <c r="B140" s="135" t="s">
        <v>88</v>
      </c>
      <c r="C140" s="134" t="s">
        <v>232</v>
      </c>
      <c r="D140" s="134">
        <v>3</v>
      </c>
      <c r="E140" s="134" t="b">
        <v>0</v>
      </c>
      <c r="F140" s="134">
        <v>120</v>
      </c>
      <c r="G140" s="134" t="s">
        <v>127</v>
      </c>
      <c r="H140" s="137">
        <v>2</v>
      </c>
      <c r="I140" s="137">
        <v>0.5</v>
      </c>
      <c r="J140" s="134" t="s">
        <v>178</v>
      </c>
      <c r="K140" s="134" t="s">
        <v>137</v>
      </c>
      <c r="L140" s="134"/>
      <c r="M140" s="134">
        <v>0</v>
      </c>
      <c r="N140" s="134">
        <v>0</v>
      </c>
      <c r="O140" s="134">
        <v>0</v>
      </c>
      <c r="P140" s="134">
        <v>0</v>
      </c>
      <c r="Q140" s="140">
        <v>0</v>
      </c>
      <c r="R140" s="139">
        <v>5</v>
      </c>
      <c r="S140" s="134">
        <v>120</v>
      </c>
      <c r="T140" s="134">
        <v>2000</v>
      </c>
      <c r="U140" s="134">
        <v>15</v>
      </c>
      <c r="V140" s="140">
        <v>5</v>
      </c>
      <c r="W140" s="15"/>
    </row>
    <row r="141" spans="1:23" ht="17.100000000000001" customHeight="1" x14ac:dyDescent="0.3">
      <c r="A141" s="139">
        <v>10104</v>
      </c>
      <c r="B141" s="135" t="s">
        <v>88</v>
      </c>
      <c r="C141" s="134" t="s">
        <v>233</v>
      </c>
      <c r="D141" s="134">
        <v>3</v>
      </c>
      <c r="E141" s="134" t="b">
        <v>0</v>
      </c>
      <c r="F141" s="134">
        <v>125</v>
      </c>
      <c r="G141" s="134" t="s">
        <v>127</v>
      </c>
      <c r="H141" s="137">
        <v>2</v>
      </c>
      <c r="I141" s="137">
        <v>0.5</v>
      </c>
      <c r="J141" s="134" t="s">
        <v>150</v>
      </c>
      <c r="K141" s="134" t="s">
        <v>137</v>
      </c>
      <c r="L141" s="134"/>
      <c r="M141" s="134">
        <v>0</v>
      </c>
      <c r="N141" s="134">
        <v>0</v>
      </c>
      <c r="O141" s="134">
        <v>0</v>
      </c>
      <c r="P141" s="134">
        <v>0</v>
      </c>
      <c r="Q141" s="140">
        <v>0</v>
      </c>
      <c r="R141" s="139">
        <v>5</v>
      </c>
      <c r="S141" s="134">
        <v>120</v>
      </c>
      <c r="T141" s="134">
        <v>2000</v>
      </c>
      <c r="U141" s="134">
        <v>15</v>
      </c>
      <c r="V141" s="140">
        <v>5</v>
      </c>
      <c r="W141" s="15"/>
    </row>
    <row r="142" spans="1:23" ht="17.100000000000001" customHeight="1" x14ac:dyDescent="0.3">
      <c r="A142" s="139">
        <v>10105</v>
      </c>
      <c r="B142" s="135" t="s">
        <v>88</v>
      </c>
      <c r="C142" s="134" t="s">
        <v>234</v>
      </c>
      <c r="D142" s="134">
        <v>3</v>
      </c>
      <c r="E142" s="134" t="b">
        <v>0</v>
      </c>
      <c r="F142" s="134">
        <v>145</v>
      </c>
      <c r="G142" s="134" t="s">
        <v>127</v>
      </c>
      <c r="H142" s="134" t="s">
        <v>112</v>
      </c>
      <c r="I142" s="137">
        <v>0.4</v>
      </c>
      <c r="J142" s="134" t="s">
        <v>172</v>
      </c>
      <c r="K142" s="134" t="s">
        <v>137</v>
      </c>
      <c r="L142" s="134"/>
      <c r="M142" s="134">
        <v>0</v>
      </c>
      <c r="N142" s="134">
        <v>0</v>
      </c>
      <c r="O142" s="134">
        <v>0</v>
      </c>
      <c r="P142" s="134">
        <v>1</v>
      </c>
      <c r="Q142" s="140">
        <v>0</v>
      </c>
      <c r="R142" s="139">
        <v>5</v>
      </c>
      <c r="S142" s="134">
        <v>120</v>
      </c>
      <c r="T142" s="134">
        <v>2000</v>
      </c>
      <c r="U142" s="134">
        <v>15</v>
      </c>
      <c r="V142" s="140">
        <v>5</v>
      </c>
      <c r="W142" s="15"/>
    </row>
    <row r="143" spans="1:23" ht="17.100000000000001" customHeight="1" x14ac:dyDescent="0.3">
      <c r="A143" s="139">
        <v>10106</v>
      </c>
      <c r="B143" s="135" t="s">
        <v>88</v>
      </c>
      <c r="C143" s="134" t="s">
        <v>235</v>
      </c>
      <c r="D143" s="134">
        <v>3</v>
      </c>
      <c r="E143" s="134" t="b">
        <v>0</v>
      </c>
      <c r="F143" s="134">
        <v>120</v>
      </c>
      <c r="G143" s="134" t="s">
        <v>127</v>
      </c>
      <c r="H143" s="137">
        <v>2</v>
      </c>
      <c r="I143" s="137">
        <v>0.5</v>
      </c>
      <c r="J143" s="134" t="s">
        <v>178</v>
      </c>
      <c r="K143" s="134" t="s">
        <v>137</v>
      </c>
      <c r="L143" s="134"/>
      <c r="M143" s="134">
        <v>0</v>
      </c>
      <c r="N143" s="134">
        <v>0</v>
      </c>
      <c r="O143" s="134">
        <v>0</v>
      </c>
      <c r="P143" s="134">
        <v>0</v>
      </c>
      <c r="Q143" s="140">
        <v>0</v>
      </c>
      <c r="R143" s="139">
        <v>5</v>
      </c>
      <c r="S143" s="134">
        <v>120</v>
      </c>
      <c r="T143" s="134">
        <v>2000</v>
      </c>
      <c r="U143" s="134">
        <v>15</v>
      </c>
      <c r="V143" s="140">
        <v>5</v>
      </c>
      <c r="W143" s="15"/>
    </row>
    <row r="144" spans="1:23" ht="17.100000000000001" customHeight="1" x14ac:dyDescent="0.3">
      <c r="A144" s="139">
        <v>10107</v>
      </c>
      <c r="B144" s="135" t="s">
        <v>88</v>
      </c>
      <c r="C144" s="134" t="s">
        <v>236</v>
      </c>
      <c r="D144" s="134">
        <v>3</v>
      </c>
      <c r="E144" s="134" t="b">
        <v>0</v>
      </c>
      <c r="F144" s="134">
        <v>90</v>
      </c>
      <c r="G144" s="134" t="s">
        <v>46</v>
      </c>
      <c r="H144" s="137">
        <v>2</v>
      </c>
      <c r="I144" s="137">
        <v>0.6</v>
      </c>
      <c r="J144" s="134" t="s">
        <v>104</v>
      </c>
      <c r="K144" s="134" t="s">
        <v>102</v>
      </c>
      <c r="L144" s="134"/>
      <c r="M144" s="134">
        <v>0</v>
      </c>
      <c r="N144" s="134">
        <v>0</v>
      </c>
      <c r="O144" s="134">
        <v>0</v>
      </c>
      <c r="P144" s="134">
        <v>0</v>
      </c>
      <c r="Q144" s="140">
        <v>0</v>
      </c>
      <c r="R144" s="139">
        <v>5</v>
      </c>
      <c r="S144" s="134">
        <v>80</v>
      </c>
      <c r="T144" s="134">
        <v>1000</v>
      </c>
      <c r="U144" s="134">
        <v>10</v>
      </c>
      <c r="V144" s="140">
        <v>0</v>
      </c>
      <c r="W144" s="15"/>
    </row>
    <row r="145" spans="1:23" ht="17.100000000000001" customHeight="1" x14ac:dyDescent="0.3">
      <c r="A145" s="139">
        <v>10108</v>
      </c>
      <c r="B145" s="135" t="s">
        <v>88</v>
      </c>
      <c r="C145" s="134" t="s">
        <v>237</v>
      </c>
      <c r="D145" s="134">
        <v>3</v>
      </c>
      <c r="E145" s="134" t="b">
        <v>0</v>
      </c>
      <c r="F145" s="134">
        <v>175</v>
      </c>
      <c r="G145" s="134" t="s">
        <v>127</v>
      </c>
      <c r="H145" s="137">
        <v>3</v>
      </c>
      <c r="I145" s="137">
        <v>0.3</v>
      </c>
      <c r="J145" s="134" t="s">
        <v>131</v>
      </c>
      <c r="K145" s="134" t="s">
        <v>129</v>
      </c>
      <c r="L145" s="134"/>
      <c r="M145" s="134">
        <v>0</v>
      </c>
      <c r="N145" s="134">
        <v>0</v>
      </c>
      <c r="O145" s="134">
        <v>2</v>
      </c>
      <c r="P145" s="134">
        <v>3</v>
      </c>
      <c r="Q145" s="140">
        <v>0</v>
      </c>
      <c r="R145" s="139">
        <v>5</v>
      </c>
      <c r="S145" s="134">
        <v>170</v>
      </c>
      <c r="T145" s="134">
        <v>3500</v>
      </c>
      <c r="U145" s="134">
        <v>25</v>
      </c>
      <c r="V145" s="140">
        <v>10</v>
      </c>
      <c r="W145" s="15"/>
    </row>
    <row r="146" spans="1:23" ht="17.100000000000001" customHeight="1" x14ac:dyDescent="0.3">
      <c r="A146" s="139">
        <v>10109</v>
      </c>
      <c r="B146" s="135" t="s">
        <v>88</v>
      </c>
      <c r="C146" s="134" t="s">
        <v>238</v>
      </c>
      <c r="D146" s="134">
        <v>3</v>
      </c>
      <c r="E146" s="134" t="b">
        <v>0</v>
      </c>
      <c r="F146" s="134">
        <v>160</v>
      </c>
      <c r="G146" s="134" t="s">
        <v>127</v>
      </c>
      <c r="H146" s="134" t="s">
        <v>112</v>
      </c>
      <c r="I146" s="137">
        <v>0.3</v>
      </c>
      <c r="J146" s="134" t="s">
        <v>166</v>
      </c>
      <c r="K146" s="134" t="s">
        <v>129</v>
      </c>
      <c r="L146" s="134"/>
      <c r="M146" s="134">
        <v>0</v>
      </c>
      <c r="N146" s="134">
        <v>0</v>
      </c>
      <c r="O146" s="134">
        <v>1</v>
      </c>
      <c r="P146" s="134">
        <v>1</v>
      </c>
      <c r="Q146" s="140">
        <v>0</v>
      </c>
      <c r="R146" s="139">
        <v>5</v>
      </c>
      <c r="S146" s="134">
        <v>170</v>
      </c>
      <c r="T146" s="134">
        <v>3500</v>
      </c>
      <c r="U146" s="134">
        <v>25</v>
      </c>
      <c r="V146" s="140">
        <v>10</v>
      </c>
      <c r="W146" s="15"/>
    </row>
    <row r="147" spans="1:23" ht="17.100000000000001" customHeight="1" x14ac:dyDescent="0.3">
      <c r="A147" s="139">
        <v>10110</v>
      </c>
      <c r="B147" s="135" t="s">
        <v>88</v>
      </c>
      <c r="C147" s="134" t="s">
        <v>239</v>
      </c>
      <c r="D147" s="134">
        <v>3</v>
      </c>
      <c r="E147" s="134" t="b">
        <v>0</v>
      </c>
      <c r="F147" s="134">
        <v>95</v>
      </c>
      <c r="G147" s="134" t="s">
        <v>127</v>
      </c>
      <c r="H147" s="137">
        <v>2</v>
      </c>
      <c r="I147" s="137">
        <v>0.5</v>
      </c>
      <c r="J147" s="134" t="s">
        <v>196</v>
      </c>
      <c r="K147" s="134" t="s">
        <v>137</v>
      </c>
      <c r="L147" s="134"/>
      <c r="M147" s="134">
        <v>0</v>
      </c>
      <c r="N147" s="134">
        <v>0</v>
      </c>
      <c r="O147" s="134">
        <v>0</v>
      </c>
      <c r="P147" s="134">
        <v>0</v>
      </c>
      <c r="Q147" s="140">
        <v>0</v>
      </c>
      <c r="R147" s="139">
        <v>5</v>
      </c>
      <c r="S147" s="134">
        <v>80</v>
      </c>
      <c r="T147" s="134">
        <v>1000</v>
      </c>
      <c r="U147" s="134">
        <v>10</v>
      </c>
      <c r="V147" s="140">
        <v>0</v>
      </c>
      <c r="W147" s="15"/>
    </row>
    <row r="148" spans="1:23" ht="17.100000000000001" customHeight="1" x14ac:dyDescent="0.3">
      <c r="A148" s="139">
        <v>10111</v>
      </c>
      <c r="B148" s="135" t="s">
        <v>88</v>
      </c>
      <c r="C148" s="134" t="s">
        <v>240</v>
      </c>
      <c r="D148" s="134">
        <v>3</v>
      </c>
      <c r="E148" s="134" t="b">
        <v>0</v>
      </c>
      <c r="F148" s="134">
        <v>135</v>
      </c>
      <c r="G148" s="134" t="s">
        <v>127</v>
      </c>
      <c r="H148" s="134" t="s">
        <v>112</v>
      </c>
      <c r="I148" s="137">
        <v>0.4</v>
      </c>
      <c r="J148" s="134" t="s">
        <v>136</v>
      </c>
      <c r="K148" s="134" t="s">
        <v>137</v>
      </c>
      <c r="L148" s="134"/>
      <c r="M148" s="134">
        <v>0</v>
      </c>
      <c r="N148" s="134">
        <v>0</v>
      </c>
      <c r="O148" s="134">
        <v>0</v>
      </c>
      <c r="P148" s="134">
        <v>0</v>
      </c>
      <c r="Q148" s="140">
        <v>0</v>
      </c>
      <c r="R148" s="139">
        <v>5</v>
      </c>
      <c r="S148" s="134">
        <v>120</v>
      </c>
      <c r="T148" s="134">
        <v>2000</v>
      </c>
      <c r="U148" s="134">
        <v>15</v>
      </c>
      <c r="V148" s="140">
        <v>5</v>
      </c>
      <c r="W148" s="15"/>
    </row>
    <row r="149" spans="1:23" ht="17.100000000000001" customHeight="1" x14ac:dyDescent="0.3">
      <c r="A149" s="139">
        <v>10112</v>
      </c>
      <c r="B149" s="135" t="s">
        <v>88</v>
      </c>
      <c r="C149" s="134" t="s">
        <v>241</v>
      </c>
      <c r="D149" s="134">
        <v>3</v>
      </c>
      <c r="E149" s="134" t="b">
        <v>0</v>
      </c>
      <c r="F149" s="134">
        <v>200</v>
      </c>
      <c r="G149" s="134" t="s">
        <v>127</v>
      </c>
      <c r="H149" s="137">
        <v>3</v>
      </c>
      <c r="I149" s="137">
        <v>0.2</v>
      </c>
      <c r="J149" s="134" t="s">
        <v>223</v>
      </c>
      <c r="K149" s="134" t="s">
        <v>129</v>
      </c>
      <c r="L149" s="134"/>
      <c r="M149" s="134">
        <v>0</v>
      </c>
      <c r="N149" s="134">
        <v>0</v>
      </c>
      <c r="O149" s="134">
        <v>5</v>
      </c>
      <c r="P149" s="134">
        <v>6</v>
      </c>
      <c r="Q149" s="140">
        <v>0</v>
      </c>
      <c r="R149" s="139">
        <v>5</v>
      </c>
      <c r="S149" s="134">
        <v>230</v>
      </c>
      <c r="T149" s="134">
        <v>5500</v>
      </c>
      <c r="U149" s="134">
        <v>40</v>
      </c>
      <c r="V149" s="140">
        <v>20</v>
      </c>
      <c r="W149" s="15"/>
    </row>
    <row r="150" spans="1:23" ht="17.100000000000001" customHeight="1" x14ac:dyDescent="0.3">
      <c r="A150" s="139">
        <v>10113</v>
      </c>
      <c r="B150" s="135" t="s">
        <v>88</v>
      </c>
      <c r="C150" s="134" t="s">
        <v>242</v>
      </c>
      <c r="D150" s="134">
        <v>3</v>
      </c>
      <c r="E150" s="134" t="b">
        <v>0</v>
      </c>
      <c r="F150" s="134">
        <v>190</v>
      </c>
      <c r="G150" s="134" t="s">
        <v>127</v>
      </c>
      <c r="H150" s="137">
        <v>3</v>
      </c>
      <c r="I150" s="137">
        <v>0.2</v>
      </c>
      <c r="J150" s="134" t="s">
        <v>243</v>
      </c>
      <c r="K150" s="134" t="s">
        <v>129</v>
      </c>
      <c r="L150" s="134"/>
      <c r="M150" s="134">
        <v>0</v>
      </c>
      <c r="N150" s="134">
        <v>0</v>
      </c>
      <c r="O150" s="134">
        <v>4</v>
      </c>
      <c r="P150" s="134">
        <v>4</v>
      </c>
      <c r="Q150" s="140">
        <v>0</v>
      </c>
      <c r="R150" s="139">
        <v>5</v>
      </c>
      <c r="S150" s="134">
        <v>230</v>
      </c>
      <c r="T150" s="134">
        <v>5500</v>
      </c>
      <c r="U150" s="134">
        <v>40</v>
      </c>
      <c r="V150" s="140">
        <v>20</v>
      </c>
      <c r="W150" s="15"/>
    </row>
    <row r="151" spans="1:23" ht="17.100000000000001" customHeight="1" x14ac:dyDescent="0.3">
      <c r="A151" s="139">
        <v>10114</v>
      </c>
      <c r="B151" s="135" t="s">
        <v>88</v>
      </c>
      <c r="C151" s="134" t="s">
        <v>244</v>
      </c>
      <c r="D151" s="134">
        <v>3</v>
      </c>
      <c r="E151" s="134" t="b">
        <v>0</v>
      </c>
      <c r="F151" s="134">
        <v>150</v>
      </c>
      <c r="G151" s="134" t="s">
        <v>127</v>
      </c>
      <c r="H151" s="134" t="s">
        <v>112</v>
      </c>
      <c r="I151" s="137">
        <v>0.4</v>
      </c>
      <c r="J151" s="134" t="s">
        <v>207</v>
      </c>
      <c r="K151" s="134" t="s">
        <v>137</v>
      </c>
      <c r="L151" s="134"/>
      <c r="M151" s="134">
        <v>0</v>
      </c>
      <c r="N151" s="134">
        <v>0</v>
      </c>
      <c r="O151" s="134">
        <v>0</v>
      </c>
      <c r="P151" s="134">
        <v>1</v>
      </c>
      <c r="Q151" s="140">
        <v>0</v>
      </c>
      <c r="R151" s="139">
        <v>5</v>
      </c>
      <c r="S151" s="134">
        <v>120</v>
      </c>
      <c r="T151" s="134">
        <v>2000</v>
      </c>
      <c r="U151" s="134">
        <v>15</v>
      </c>
      <c r="V151" s="140">
        <v>5</v>
      </c>
      <c r="W151" s="15"/>
    </row>
    <row r="152" spans="1:23" ht="17.100000000000001" customHeight="1" x14ac:dyDescent="0.3">
      <c r="A152" s="139">
        <v>10115</v>
      </c>
      <c r="B152" s="135" t="s">
        <v>88</v>
      </c>
      <c r="C152" s="134" t="s">
        <v>245</v>
      </c>
      <c r="D152" s="134">
        <v>3</v>
      </c>
      <c r="E152" s="134" t="b">
        <v>0</v>
      </c>
      <c r="F152" s="134">
        <v>135</v>
      </c>
      <c r="G152" s="134" t="s">
        <v>127</v>
      </c>
      <c r="H152" s="134" t="s">
        <v>112</v>
      </c>
      <c r="I152" s="137">
        <v>0.4</v>
      </c>
      <c r="J152" s="134" t="s">
        <v>136</v>
      </c>
      <c r="K152" s="134" t="s">
        <v>137</v>
      </c>
      <c r="L152" s="134"/>
      <c r="M152" s="134">
        <v>0</v>
      </c>
      <c r="N152" s="134">
        <v>0</v>
      </c>
      <c r="O152" s="134">
        <v>0</v>
      </c>
      <c r="P152" s="134">
        <v>0</v>
      </c>
      <c r="Q152" s="140">
        <v>0</v>
      </c>
      <c r="R152" s="139">
        <v>5</v>
      </c>
      <c r="S152" s="134">
        <v>120</v>
      </c>
      <c r="T152" s="134">
        <v>2000</v>
      </c>
      <c r="U152" s="134">
        <v>15</v>
      </c>
      <c r="V152" s="140">
        <v>5</v>
      </c>
      <c r="W152" s="15"/>
    </row>
    <row r="153" spans="1:23" ht="17.100000000000001" customHeight="1" x14ac:dyDescent="0.3">
      <c r="A153" s="139">
        <v>10116</v>
      </c>
      <c r="B153" s="135" t="s">
        <v>88</v>
      </c>
      <c r="C153" s="134" t="s">
        <v>246</v>
      </c>
      <c r="D153" s="134">
        <v>3</v>
      </c>
      <c r="E153" s="134" t="b">
        <v>0</v>
      </c>
      <c r="F153" s="134">
        <v>105</v>
      </c>
      <c r="G153" s="134" t="s">
        <v>127</v>
      </c>
      <c r="H153" s="137">
        <v>2</v>
      </c>
      <c r="I153" s="137">
        <v>0.5</v>
      </c>
      <c r="J153" s="134" t="s">
        <v>176</v>
      </c>
      <c r="K153" s="134" t="s">
        <v>137</v>
      </c>
      <c r="L153" s="134"/>
      <c r="M153" s="134">
        <v>0</v>
      </c>
      <c r="N153" s="134">
        <v>0</v>
      </c>
      <c r="O153" s="134">
        <v>0</v>
      </c>
      <c r="P153" s="134">
        <v>0</v>
      </c>
      <c r="Q153" s="140">
        <v>0</v>
      </c>
      <c r="R153" s="139">
        <v>5</v>
      </c>
      <c r="S153" s="134">
        <v>80</v>
      </c>
      <c r="T153" s="134">
        <v>1000</v>
      </c>
      <c r="U153" s="134">
        <v>10</v>
      </c>
      <c r="V153" s="140">
        <v>0</v>
      </c>
      <c r="W153" s="15"/>
    </row>
    <row r="154" spans="1:23" ht="17.100000000000001" customHeight="1" x14ac:dyDescent="0.3">
      <c r="A154" s="139">
        <v>10117</v>
      </c>
      <c r="B154" s="135" t="s">
        <v>88</v>
      </c>
      <c r="C154" s="134" t="s">
        <v>247</v>
      </c>
      <c r="D154" s="134">
        <v>3</v>
      </c>
      <c r="E154" s="134" t="b">
        <v>0</v>
      </c>
      <c r="F154" s="134">
        <v>150</v>
      </c>
      <c r="G154" s="134" t="s">
        <v>127</v>
      </c>
      <c r="H154" s="134" t="s">
        <v>112</v>
      </c>
      <c r="I154" s="137">
        <v>0.4</v>
      </c>
      <c r="J154" s="134" t="s">
        <v>134</v>
      </c>
      <c r="K154" s="134" t="s">
        <v>129</v>
      </c>
      <c r="L154" s="134"/>
      <c r="M154" s="134">
        <v>0</v>
      </c>
      <c r="N154" s="134">
        <v>0</v>
      </c>
      <c r="O154" s="134">
        <v>0</v>
      </c>
      <c r="P154" s="134">
        <v>1</v>
      </c>
      <c r="Q154" s="140">
        <v>0</v>
      </c>
      <c r="R154" s="139">
        <v>5</v>
      </c>
      <c r="S154" s="134">
        <v>170</v>
      </c>
      <c r="T154" s="134">
        <v>3500</v>
      </c>
      <c r="U154" s="134">
        <v>25</v>
      </c>
      <c r="V154" s="140">
        <v>10</v>
      </c>
      <c r="W154" s="15"/>
    </row>
    <row r="155" spans="1:23" ht="17.100000000000001" customHeight="1" x14ac:dyDescent="0.3">
      <c r="A155" s="139">
        <v>10118</v>
      </c>
      <c r="B155" s="135" t="s">
        <v>88</v>
      </c>
      <c r="C155" s="134" t="s">
        <v>248</v>
      </c>
      <c r="D155" s="134">
        <v>3</v>
      </c>
      <c r="E155" s="134" t="b">
        <v>0</v>
      </c>
      <c r="F155" s="134">
        <v>185</v>
      </c>
      <c r="G155" s="134" t="s">
        <v>127</v>
      </c>
      <c r="H155" s="137">
        <v>3</v>
      </c>
      <c r="I155" s="137">
        <v>0.2</v>
      </c>
      <c r="J155" s="134" t="s">
        <v>142</v>
      </c>
      <c r="K155" s="134" t="s">
        <v>129</v>
      </c>
      <c r="L155" s="134"/>
      <c r="M155" s="134">
        <v>0</v>
      </c>
      <c r="N155" s="134">
        <v>0</v>
      </c>
      <c r="O155" s="134">
        <v>3</v>
      </c>
      <c r="P155" s="134">
        <v>4</v>
      </c>
      <c r="Q155" s="140">
        <v>0</v>
      </c>
      <c r="R155" s="139">
        <v>5</v>
      </c>
      <c r="S155" s="134">
        <v>230</v>
      </c>
      <c r="T155" s="134">
        <v>5500</v>
      </c>
      <c r="U155" s="134">
        <v>40</v>
      </c>
      <c r="V155" s="140">
        <v>20</v>
      </c>
      <c r="W155" s="15"/>
    </row>
    <row r="156" spans="1:23" ht="17.100000000000001" customHeight="1" x14ac:dyDescent="0.3">
      <c r="A156" s="139">
        <v>10119</v>
      </c>
      <c r="B156" s="135" t="s">
        <v>88</v>
      </c>
      <c r="C156" s="134" t="s">
        <v>249</v>
      </c>
      <c r="D156" s="134">
        <v>3</v>
      </c>
      <c r="E156" s="134" t="b">
        <v>0</v>
      </c>
      <c r="F156" s="134">
        <v>190</v>
      </c>
      <c r="G156" s="134" t="s">
        <v>127</v>
      </c>
      <c r="H156" s="137">
        <v>3</v>
      </c>
      <c r="I156" s="137">
        <v>0.2</v>
      </c>
      <c r="J156" s="134" t="s">
        <v>243</v>
      </c>
      <c r="K156" s="134" t="s">
        <v>129</v>
      </c>
      <c r="L156" s="134"/>
      <c r="M156" s="134">
        <v>0</v>
      </c>
      <c r="N156" s="134">
        <v>0</v>
      </c>
      <c r="O156" s="134">
        <v>4</v>
      </c>
      <c r="P156" s="134">
        <v>5</v>
      </c>
      <c r="Q156" s="140">
        <v>0</v>
      </c>
      <c r="R156" s="139">
        <v>5</v>
      </c>
      <c r="S156" s="134">
        <v>230</v>
      </c>
      <c r="T156" s="134">
        <v>5500</v>
      </c>
      <c r="U156" s="134">
        <v>40</v>
      </c>
      <c r="V156" s="140">
        <v>20</v>
      </c>
      <c r="W156" s="15"/>
    </row>
    <row r="157" spans="1:23" ht="17.100000000000001" customHeight="1" x14ac:dyDescent="0.3">
      <c r="A157" s="139">
        <v>10120</v>
      </c>
      <c r="B157" s="135" t="s">
        <v>88</v>
      </c>
      <c r="C157" s="134" t="s">
        <v>250</v>
      </c>
      <c r="D157" s="134">
        <v>3</v>
      </c>
      <c r="E157" s="134" t="b">
        <v>0</v>
      </c>
      <c r="F157" s="134">
        <v>180</v>
      </c>
      <c r="G157" s="134" t="s">
        <v>127</v>
      </c>
      <c r="H157" s="137">
        <v>3</v>
      </c>
      <c r="I157" s="137">
        <v>0.3</v>
      </c>
      <c r="J157" s="134" t="s">
        <v>189</v>
      </c>
      <c r="K157" s="134" t="s">
        <v>129</v>
      </c>
      <c r="L157" s="134"/>
      <c r="M157" s="134">
        <v>0</v>
      </c>
      <c r="N157" s="134">
        <v>0</v>
      </c>
      <c r="O157" s="134">
        <v>2</v>
      </c>
      <c r="P157" s="134">
        <v>3</v>
      </c>
      <c r="Q157" s="140">
        <v>0</v>
      </c>
      <c r="R157" s="139">
        <v>5</v>
      </c>
      <c r="S157" s="134">
        <v>230</v>
      </c>
      <c r="T157" s="134">
        <v>5500</v>
      </c>
      <c r="U157" s="134">
        <v>40</v>
      </c>
      <c r="V157" s="140">
        <v>20</v>
      </c>
      <c r="W157" s="15"/>
    </row>
    <row r="158" spans="1:23" ht="17.100000000000001" customHeight="1" x14ac:dyDescent="0.3">
      <c r="A158" s="139">
        <v>10121</v>
      </c>
      <c r="B158" s="135" t="s">
        <v>88</v>
      </c>
      <c r="C158" s="134" t="s">
        <v>251</v>
      </c>
      <c r="D158" s="134">
        <v>3</v>
      </c>
      <c r="E158" s="134" t="b">
        <v>0</v>
      </c>
      <c r="F158" s="134">
        <v>165</v>
      </c>
      <c r="G158" s="134" t="s">
        <v>127</v>
      </c>
      <c r="H158" s="137">
        <v>3</v>
      </c>
      <c r="I158" s="137">
        <v>0.3</v>
      </c>
      <c r="J158" s="134" t="s">
        <v>252</v>
      </c>
      <c r="K158" s="134" t="s">
        <v>129</v>
      </c>
      <c r="L158" s="134"/>
      <c r="M158" s="134">
        <v>0</v>
      </c>
      <c r="N158" s="134">
        <v>0</v>
      </c>
      <c r="O158" s="134">
        <v>1</v>
      </c>
      <c r="P158" s="134">
        <v>2</v>
      </c>
      <c r="Q158" s="140">
        <v>0</v>
      </c>
      <c r="R158" s="139">
        <v>5</v>
      </c>
      <c r="S158" s="134">
        <v>170</v>
      </c>
      <c r="T158" s="134">
        <v>3500</v>
      </c>
      <c r="U158" s="134">
        <v>25</v>
      </c>
      <c r="V158" s="140">
        <v>10</v>
      </c>
      <c r="W158" s="15"/>
    </row>
    <row r="159" spans="1:23" ht="17.100000000000001" customHeight="1" x14ac:dyDescent="0.3">
      <c r="A159" s="139">
        <v>10122</v>
      </c>
      <c r="B159" s="135" t="s">
        <v>88</v>
      </c>
      <c r="C159" s="134" t="s">
        <v>253</v>
      </c>
      <c r="D159" s="134">
        <v>3</v>
      </c>
      <c r="E159" s="134" t="b">
        <v>0</v>
      </c>
      <c r="F159" s="134">
        <v>200</v>
      </c>
      <c r="G159" s="134" t="s">
        <v>127</v>
      </c>
      <c r="H159" s="137">
        <v>3</v>
      </c>
      <c r="I159" s="137">
        <v>0.2</v>
      </c>
      <c r="J159" s="134" t="s">
        <v>223</v>
      </c>
      <c r="K159" s="134" t="s">
        <v>129</v>
      </c>
      <c r="L159" s="134"/>
      <c r="M159" s="134">
        <v>0</v>
      </c>
      <c r="N159" s="134">
        <v>0</v>
      </c>
      <c r="O159" s="134">
        <v>5</v>
      </c>
      <c r="P159" s="134">
        <v>6</v>
      </c>
      <c r="Q159" s="140">
        <v>0</v>
      </c>
      <c r="R159" s="139">
        <v>5</v>
      </c>
      <c r="S159" s="134">
        <v>230</v>
      </c>
      <c r="T159" s="134">
        <v>5500</v>
      </c>
      <c r="U159" s="134">
        <v>40</v>
      </c>
      <c r="V159" s="140">
        <v>20</v>
      </c>
      <c r="W159" s="15"/>
    </row>
    <row r="160" spans="1:23" ht="17.100000000000001" customHeight="1" x14ac:dyDescent="0.3">
      <c r="A160" s="139">
        <v>10123</v>
      </c>
      <c r="B160" s="135" t="s">
        <v>88</v>
      </c>
      <c r="C160" s="134" t="s">
        <v>254</v>
      </c>
      <c r="D160" s="134">
        <v>3</v>
      </c>
      <c r="E160" s="134" t="b">
        <v>0</v>
      </c>
      <c r="F160" s="134">
        <v>200</v>
      </c>
      <c r="G160" s="134" t="s">
        <v>127</v>
      </c>
      <c r="H160" s="137">
        <v>3</v>
      </c>
      <c r="I160" s="137">
        <v>0.2</v>
      </c>
      <c r="J160" s="134" t="s">
        <v>223</v>
      </c>
      <c r="K160" s="134" t="s">
        <v>129</v>
      </c>
      <c r="L160" s="134"/>
      <c r="M160" s="134">
        <v>0</v>
      </c>
      <c r="N160" s="134">
        <v>0</v>
      </c>
      <c r="O160" s="134">
        <v>5</v>
      </c>
      <c r="P160" s="134">
        <v>6</v>
      </c>
      <c r="Q160" s="140">
        <v>0</v>
      </c>
      <c r="R160" s="139">
        <v>5</v>
      </c>
      <c r="S160" s="134">
        <v>230</v>
      </c>
      <c r="T160" s="134">
        <v>5500</v>
      </c>
      <c r="U160" s="134">
        <v>40</v>
      </c>
      <c r="V160" s="140">
        <v>20</v>
      </c>
      <c r="W160" s="15"/>
    </row>
    <row r="161" spans="1:23" ht="17.100000000000001" customHeight="1" x14ac:dyDescent="0.3">
      <c r="A161" s="139">
        <v>10124</v>
      </c>
      <c r="B161" s="135" t="s">
        <v>88</v>
      </c>
      <c r="C161" s="134" t="s">
        <v>255</v>
      </c>
      <c r="D161" s="134">
        <v>3</v>
      </c>
      <c r="E161" s="134" t="b">
        <v>0</v>
      </c>
      <c r="F161" s="134">
        <v>150</v>
      </c>
      <c r="G161" s="134" t="s">
        <v>127</v>
      </c>
      <c r="H161" s="134" t="s">
        <v>112</v>
      </c>
      <c r="I161" s="137">
        <v>0.4</v>
      </c>
      <c r="J161" s="134" t="s">
        <v>207</v>
      </c>
      <c r="K161" s="134" t="s">
        <v>137</v>
      </c>
      <c r="L161" s="134"/>
      <c r="M161" s="134">
        <v>0</v>
      </c>
      <c r="N161" s="134">
        <v>0</v>
      </c>
      <c r="O161" s="134">
        <v>0</v>
      </c>
      <c r="P161" s="134">
        <v>1</v>
      </c>
      <c r="Q161" s="140">
        <v>0</v>
      </c>
      <c r="R161" s="139">
        <v>5</v>
      </c>
      <c r="S161" s="134">
        <v>120</v>
      </c>
      <c r="T161" s="134">
        <v>2000</v>
      </c>
      <c r="U161" s="134">
        <v>15</v>
      </c>
      <c r="V161" s="140">
        <v>5</v>
      </c>
      <c r="W161" s="15"/>
    </row>
    <row r="162" spans="1:23" ht="17.100000000000001" customHeight="1" x14ac:dyDescent="0.3">
      <c r="A162" s="139">
        <v>10125</v>
      </c>
      <c r="B162" s="135" t="s">
        <v>88</v>
      </c>
      <c r="C162" s="134" t="s">
        <v>256</v>
      </c>
      <c r="D162" s="134">
        <v>3</v>
      </c>
      <c r="E162" s="134" t="b">
        <v>0</v>
      </c>
      <c r="F162" s="134">
        <v>185</v>
      </c>
      <c r="G162" s="134" t="s">
        <v>127</v>
      </c>
      <c r="H162" s="137">
        <v>3</v>
      </c>
      <c r="I162" s="137">
        <v>0.2</v>
      </c>
      <c r="J162" s="134" t="s">
        <v>142</v>
      </c>
      <c r="K162" s="134" t="s">
        <v>129</v>
      </c>
      <c r="L162" s="134"/>
      <c r="M162" s="134">
        <v>0</v>
      </c>
      <c r="N162" s="134">
        <v>0</v>
      </c>
      <c r="O162" s="134">
        <v>3</v>
      </c>
      <c r="P162" s="134">
        <v>4</v>
      </c>
      <c r="Q162" s="140">
        <v>0</v>
      </c>
      <c r="R162" s="139">
        <v>5</v>
      </c>
      <c r="S162" s="134">
        <v>230</v>
      </c>
      <c r="T162" s="134">
        <v>5500</v>
      </c>
      <c r="U162" s="134">
        <v>40</v>
      </c>
      <c r="V162" s="140">
        <v>20</v>
      </c>
      <c r="W162" s="15"/>
    </row>
    <row r="163" spans="1:23" ht="17.100000000000001" customHeight="1" x14ac:dyDescent="0.3">
      <c r="A163" s="139">
        <v>10126</v>
      </c>
      <c r="B163" s="135" t="s">
        <v>88</v>
      </c>
      <c r="C163" s="134" t="s">
        <v>257</v>
      </c>
      <c r="D163" s="134">
        <v>3</v>
      </c>
      <c r="E163" s="134" t="b">
        <v>0</v>
      </c>
      <c r="F163" s="134">
        <v>180</v>
      </c>
      <c r="G163" s="134" t="s">
        <v>127</v>
      </c>
      <c r="H163" s="137">
        <v>3</v>
      </c>
      <c r="I163" s="137">
        <v>0.3</v>
      </c>
      <c r="J163" s="134" t="s">
        <v>189</v>
      </c>
      <c r="K163" s="134" t="s">
        <v>129</v>
      </c>
      <c r="L163" s="134"/>
      <c r="M163" s="134">
        <v>0</v>
      </c>
      <c r="N163" s="134">
        <v>0</v>
      </c>
      <c r="O163" s="134">
        <v>3</v>
      </c>
      <c r="P163" s="134">
        <v>3</v>
      </c>
      <c r="Q163" s="140">
        <v>0</v>
      </c>
      <c r="R163" s="139">
        <v>5</v>
      </c>
      <c r="S163" s="134">
        <v>230</v>
      </c>
      <c r="T163" s="134">
        <v>5500</v>
      </c>
      <c r="U163" s="134">
        <v>40</v>
      </c>
      <c r="V163" s="140">
        <v>20</v>
      </c>
      <c r="W163" s="15"/>
    </row>
    <row r="164" spans="1:23" ht="17.100000000000001" customHeight="1" x14ac:dyDescent="0.3">
      <c r="A164" s="139">
        <v>10127</v>
      </c>
      <c r="B164" s="135" t="s">
        <v>88</v>
      </c>
      <c r="C164" s="134" t="s">
        <v>258</v>
      </c>
      <c r="D164" s="134">
        <v>3</v>
      </c>
      <c r="E164" s="134" t="b">
        <v>0</v>
      </c>
      <c r="F164" s="134">
        <v>175</v>
      </c>
      <c r="G164" s="134" t="s">
        <v>127</v>
      </c>
      <c r="H164" s="137">
        <v>3</v>
      </c>
      <c r="I164" s="137">
        <v>0.3</v>
      </c>
      <c r="J164" s="134" t="s">
        <v>131</v>
      </c>
      <c r="K164" s="134" t="s">
        <v>129</v>
      </c>
      <c r="L164" s="134"/>
      <c r="M164" s="134">
        <v>0</v>
      </c>
      <c r="N164" s="134">
        <v>0</v>
      </c>
      <c r="O164" s="134">
        <v>2</v>
      </c>
      <c r="P164" s="134">
        <v>3</v>
      </c>
      <c r="Q164" s="140">
        <v>0</v>
      </c>
      <c r="R164" s="139">
        <v>5</v>
      </c>
      <c r="S164" s="134">
        <v>230</v>
      </c>
      <c r="T164" s="134">
        <v>5500</v>
      </c>
      <c r="U164" s="134">
        <v>40</v>
      </c>
      <c r="V164" s="140">
        <v>20</v>
      </c>
      <c r="W164" s="15"/>
    </row>
    <row r="165" spans="1:23" ht="17.100000000000001" customHeight="1" x14ac:dyDescent="0.3">
      <c r="A165" s="139">
        <v>10128</v>
      </c>
      <c r="B165" s="135" t="s">
        <v>88</v>
      </c>
      <c r="C165" s="134" t="s">
        <v>259</v>
      </c>
      <c r="D165" s="134">
        <v>3</v>
      </c>
      <c r="E165" s="134" t="b">
        <v>0</v>
      </c>
      <c r="F165" s="134">
        <v>180</v>
      </c>
      <c r="G165" s="134" t="s">
        <v>127</v>
      </c>
      <c r="H165" s="137">
        <v>3</v>
      </c>
      <c r="I165" s="137">
        <v>0.3</v>
      </c>
      <c r="J165" s="134" t="s">
        <v>189</v>
      </c>
      <c r="K165" s="134" t="s">
        <v>129</v>
      </c>
      <c r="L165" s="134"/>
      <c r="M165" s="134">
        <v>0</v>
      </c>
      <c r="N165" s="134">
        <v>0</v>
      </c>
      <c r="O165" s="134">
        <v>3</v>
      </c>
      <c r="P165" s="134">
        <v>3</v>
      </c>
      <c r="Q165" s="140">
        <v>0</v>
      </c>
      <c r="R165" s="139">
        <v>5</v>
      </c>
      <c r="S165" s="134">
        <v>230</v>
      </c>
      <c r="T165" s="134">
        <v>5500</v>
      </c>
      <c r="U165" s="134">
        <v>40</v>
      </c>
      <c r="V165" s="140">
        <v>20</v>
      </c>
      <c r="W165" s="15"/>
    </row>
    <row r="166" spans="1:23" ht="17.100000000000001" customHeight="1" x14ac:dyDescent="0.3">
      <c r="A166" s="139">
        <v>10129</v>
      </c>
      <c r="B166" s="135" t="s">
        <v>88</v>
      </c>
      <c r="C166" s="134" t="s">
        <v>260</v>
      </c>
      <c r="D166" s="134">
        <v>3</v>
      </c>
      <c r="E166" s="134" t="b">
        <v>0</v>
      </c>
      <c r="F166" s="134">
        <v>200</v>
      </c>
      <c r="G166" s="134" t="s">
        <v>127</v>
      </c>
      <c r="H166" s="137">
        <v>3</v>
      </c>
      <c r="I166" s="137">
        <v>0.2</v>
      </c>
      <c r="J166" s="134" t="s">
        <v>223</v>
      </c>
      <c r="K166" s="134" t="s">
        <v>129</v>
      </c>
      <c r="L166" s="134"/>
      <c r="M166" s="134">
        <v>0</v>
      </c>
      <c r="N166" s="134">
        <v>0</v>
      </c>
      <c r="O166" s="134">
        <v>5</v>
      </c>
      <c r="P166" s="134">
        <v>6</v>
      </c>
      <c r="Q166" s="140">
        <v>0</v>
      </c>
      <c r="R166" s="139">
        <v>5</v>
      </c>
      <c r="S166" s="134">
        <v>230</v>
      </c>
      <c r="T166" s="134">
        <v>5500</v>
      </c>
      <c r="U166" s="134">
        <v>40</v>
      </c>
      <c r="V166" s="140">
        <v>20</v>
      </c>
      <c r="W166" s="15"/>
    </row>
    <row r="167" spans="1:23" ht="17.100000000000001" customHeight="1" x14ac:dyDescent="0.3">
      <c r="A167" s="139">
        <v>10130</v>
      </c>
      <c r="B167" s="135" t="s">
        <v>88</v>
      </c>
      <c r="C167" s="134" t="s">
        <v>261</v>
      </c>
      <c r="D167" s="134">
        <v>3</v>
      </c>
      <c r="E167" s="134" t="b">
        <v>0</v>
      </c>
      <c r="F167" s="134">
        <v>175</v>
      </c>
      <c r="G167" s="134" t="s">
        <v>127</v>
      </c>
      <c r="H167" s="137">
        <v>3</v>
      </c>
      <c r="I167" s="137">
        <v>0.3</v>
      </c>
      <c r="J167" s="134" t="s">
        <v>131</v>
      </c>
      <c r="K167" s="134" t="s">
        <v>129</v>
      </c>
      <c r="L167" s="134"/>
      <c r="M167" s="134">
        <v>0</v>
      </c>
      <c r="N167" s="134">
        <v>0</v>
      </c>
      <c r="O167" s="134">
        <v>2</v>
      </c>
      <c r="P167" s="134">
        <v>3</v>
      </c>
      <c r="Q167" s="140">
        <v>0</v>
      </c>
      <c r="R167" s="139">
        <v>5</v>
      </c>
      <c r="S167" s="134">
        <v>230</v>
      </c>
      <c r="T167" s="134">
        <v>5500</v>
      </c>
      <c r="U167" s="134">
        <v>40</v>
      </c>
      <c r="V167" s="140">
        <v>20</v>
      </c>
      <c r="W167" s="15"/>
    </row>
    <row r="168" spans="1:23" ht="17.100000000000001" customHeight="1" x14ac:dyDescent="0.3">
      <c r="A168" s="139">
        <v>10131</v>
      </c>
      <c r="B168" s="135" t="s">
        <v>88</v>
      </c>
      <c r="C168" s="134" t="s">
        <v>262</v>
      </c>
      <c r="D168" s="134">
        <v>3</v>
      </c>
      <c r="E168" s="134" t="b">
        <v>0</v>
      </c>
      <c r="F168" s="134">
        <v>200</v>
      </c>
      <c r="G168" s="134" t="s">
        <v>127</v>
      </c>
      <c r="H168" s="137">
        <v>3</v>
      </c>
      <c r="I168" s="137">
        <v>0.2</v>
      </c>
      <c r="J168" s="134" t="s">
        <v>223</v>
      </c>
      <c r="K168" s="134" t="s">
        <v>129</v>
      </c>
      <c r="L168" s="134"/>
      <c r="M168" s="134">
        <v>0</v>
      </c>
      <c r="N168" s="134">
        <v>0</v>
      </c>
      <c r="O168" s="134">
        <v>5</v>
      </c>
      <c r="P168" s="134">
        <v>6</v>
      </c>
      <c r="Q168" s="140">
        <v>0</v>
      </c>
      <c r="R168" s="139">
        <v>5</v>
      </c>
      <c r="S168" s="134">
        <v>230</v>
      </c>
      <c r="T168" s="134">
        <v>5500</v>
      </c>
      <c r="U168" s="134">
        <v>40</v>
      </c>
      <c r="V168" s="140">
        <v>20</v>
      </c>
      <c r="W168" s="15"/>
    </row>
    <row r="169" spans="1:23" ht="17.100000000000001" customHeight="1" x14ac:dyDescent="0.3">
      <c r="A169" s="139">
        <v>10132</v>
      </c>
      <c r="B169" s="135" t="s">
        <v>88</v>
      </c>
      <c r="C169" s="134" t="s">
        <v>263</v>
      </c>
      <c r="D169" s="134">
        <v>3</v>
      </c>
      <c r="E169" s="134" t="b">
        <v>0</v>
      </c>
      <c r="F169" s="134">
        <v>155</v>
      </c>
      <c r="G169" s="134" t="s">
        <v>127</v>
      </c>
      <c r="H169" s="134" t="s">
        <v>112</v>
      </c>
      <c r="I169" s="137">
        <v>0.4</v>
      </c>
      <c r="J169" s="134" t="s">
        <v>264</v>
      </c>
      <c r="K169" s="134" t="s">
        <v>129</v>
      </c>
      <c r="L169" s="134"/>
      <c r="M169" s="134">
        <v>0</v>
      </c>
      <c r="N169" s="134">
        <v>0</v>
      </c>
      <c r="O169" s="134">
        <v>0</v>
      </c>
      <c r="P169" s="134">
        <v>1</v>
      </c>
      <c r="Q169" s="140">
        <v>0</v>
      </c>
      <c r="R169" s="139">
        <v>5</v>
      </c>
      <c r="S169" s="134">
        <v>170</v>
      </c>
      <c r="T169" s="134">
        <v>3500</v>
      </c>
      <c r="U169" s="134">
        <v>25</v>
      </c>
      <c r="V169" s="140">
        <v>10</v>
      </c>
      <c r="W169" s="15"/>
    </row>
    <row r="170" spans="1:23" ht="17.100000000000001" customHeight="1" x14ac:dyDescent="0.3">
      <c r="A170" s="139">
        <v>10133</v>
      </c>
      <c r="B170" s="135" t="s">
        <v>88</v>
      </c>
      <c r="C170" s="134" t="s">
        <v>265</v>
      </c>
      <c r="D170" s="134">
        <v>3</v>
      </c>
      <c r="E170" s="134" t="b">
        <v>0</v>
      </c>
      <c r="F170" s="134">
        <v>200</v>
      </c>
      <c r="G170" s="134" t="s">
        <v>127</v>
      </c>
      <c r="H170" s="137">
        <v>3</v>
      </c>
      <c r="I170" s="137">
        <v>0.2</v>
      </c>
      <c r="J170" s="134" t="s">
        <v>223</v>
      </c>
      <c r="K170" s="134" t="s">
        <v>129</v>
      </c>
      <c r="L170" s="134"/>
      <c r="M170" s="134">
        <v>0</v>
      </c>
      <c r="N170" s="134">
        <v>0</v>
      </c>
      <c r="O170" s="134">
        <v>5</v>
      </c>
      <c r="P170" s="134">
        <v>6</v>
      </c>
      <c r="Q170" s="140">
        <v>0</v>
      </c>
      <c r="R170" s="139">
        <v>5</v>
      </c>
      <c r="S170" s="134">
        <v>230</v>
      </c>
      <c r="T170" s="134">
        <v>5500</v>
      </c>
      <c r="U170" s="134">
        <v>40</v>
      </c>
      <c r="V170" s="140">
        <v>20</v>
      </c>
      <c r="W170" s="15"/>
    </row>
    <row r="171" spans="1:23" ht="17.100000000000001" customHeight="1" x14ac:dyDescent="0.3">
      <c r="A171" s="139">
        <v>10134</v>
      </c>
      <c r="B171" s="135" t="s">
        <v>88</v>
      </c>
      <c r="C171" s="134" t="s">
        <v>266</v>
      </c>
      <c r="D171" s="134">
        <v>3</v>
      </c>
      <c r="E171" s="134" t="b">
        <v>0</v>
      </c>
      <c r="F171" s="134">
        <v>170</v>
      </c>
      <c r="G171" s="134" t="s">
        <v>127</v>
      </c>
      <c r="H171" s="137">
        <v>3</v>
      </c>
      <c r="I171" s="137">
        <v>0.3</v>
      </c>
      <c r="J171" s="134" t="s">
        <v>148</v>
      </c>
      <c r="K171" s="134" t="s">
        <v>129</v>
      </c>
      <c r="L171" s="134"/>
      <c r="M171" s="134">
        <v>0</v>
      </c>
      <c r="N171" s="134">
        <v>0</v>
      </c>
      <c r="O171" s="134">
        <v>1</v>
      </c>
      <c r="P171" s="134">
        <v>2</v>
      </c>
      <c r="Q171" s="140">
        <v>0</v>
      </c>
      <c r="R171" s="139">
        <v>5</v>
      </c>
      <c r="S171" s="134">
        <v>170</v>
      </c>
      <c r="T171" s="134">
        <v>3500</v>
      </c>
      <c r="U171" s="134">
        <v>25</v>
      </c>
      <c r="V171" s="140">
        <v>10</v>
      </c>
      <c r="W171" s="15"/>
    </row>
    <row r="172" spans="1:23" ht="17.100000000000001" customHeight="1" x14ac:dyDescent="0.3">
      <c r="A172" s="139">
        <v>10135</v>
      </c>
      <c r="B172" s="135" t="s">
        <v>88</v>
      </c>
      <c r="C172" s="134" t="s">
        <v>267</v>
      </c>
      <c r="D172" s="134">
        <v>3</v>
      </c>
      <c r="E172" s="134" t="b">
        <v>0</v>
      </c>
      <c r="F172" s="134">
        <v>150</v>
      </c>
      <c r="G172" s="134" t="s">
        <v>127</v>
      </c>
      <c r="H172" s="134" t="s">
        <v>112</v>
      </c>
      <c r="I172" s="137">
        <v>0.4</v>
      </c>
      <c r="J172" s="134" t="s">
        <v>134</v>
      </c>
      <c r="K172" s="134" t="s">
        <v>129</v>
      </c>
      <c r="L172" s="134"/>
      <c r="M172" s="134">
        <v>0</v>
      </c>
      <c r="N172" s="134">
        <v>0</v>
      </c>
      <c r="O172" s="134">
        <v>0</v>
      </c>
      <c r="P172" s="134">
        <v>1</v>
      </c>
      <c r="Q172" s="140">
        <v>0</v>
      </c>
      <c r="R172" s="139">
        <v>5</v>
      </c>
      <c r="S172" s="134">
        <v>170</v>
      </c>
      <c r="T172" s="134">
        <v>3500</v>
      </c>
      <c r="U172" s="134">
        <v>25</v>
      </c>
      <c r="V172" s="140">
        <v>10</v>
      </c>
      <c r="W172" s="15"/>
    </row>
    <row r="173" spans="1:23" ht="17.100000000000001" customHeight="1" x14ac:dyDescent="0.3">
      <c r="A173" s="139">
        <v>10136</v>
      </c>
      <c r="B173" s="135" t="s">
        <v>88</v>
      </c>
      <c r="C173" s="134" t="s">
        <v>268</v>
      </c>
      <c r="D173" s="134">
        <v>3</v>
      </c>
      <c r="E173" s="134" t="b">
        <v>0</v>
      </c>
      <c r="F173" s="134">
        <v>135</v>
      </c>
      <c r="G173" s="134" t="s">
        <v>127</v>
      </c>
      <c r="H173" s="134" t="s">
        <v>112</v>
      </c>
      <c r="I173" s="137">
        <v>0.4</v>
      </c>
      <c r="J173" s="134" t="s">
        <v>136</v>
      </c>
      <c r="K173" s="134" t="s">
        <v>137</v>
      </c>
      <c r="L173" s="134"/>
      <c r="M173" s="134">
        <v>0</v>
      </c>
      <c r="N173" s="134">
        <v>0</v>
      </c>
      <c r="O173" s="134">
        <v>0</v>
      </c>
      <c r="P173" s="134">
        <v>0</v>
      </c>
      <c r="Q173" s="140">
        <v>0</v>
      </c>
      <c r="R173" s="139">
        <v>5</v>
      </c>
      <c r="S173" s="134">
        <v>120</v>
      </c>
      <c r="T173" s="134">
        <v>2000</v>
      </c>
      <c r="U173" s="134">
        <v>15</v>
      </c>
      <c r="V173" s="140">
        <v>5</v>
      </c>
      <c r="W173" s="15"/>
    </row>
    <row r="174" spans="1:23" ht="17.100000000000001" customHeight="1" x14ac:dyDescent="0.3">
      <c r="A174" s="139">
        <v>10137</v>
      </c>
      <c r="B174" s="135" t="s">
        <v>88</v>
      </c>
      <c r="C174" s="134" t="s">
        <v>269</v>
      </c>
      <c r="D174" s="134">
        <v>3</v>
      </c>
      <c r="E174" s="134" t="b">
        <v>0</v>
      </c>
      <c r="F174" s="134">
        <v>135</v>
      </c>
      <c r="G174" s="134" t="s">
        <v>127</v>
      </c>
      <c r="H174" s="134" t="s">
        <v>112</v>
      </c>
      <c r="I174" s="137">
        <v>0.4</v>
      </c>
      <c r="J174" s="134" t="s">
        <v>136</v>
      </c>
      <c r="K174" s="134" t="s">
        <v>137</v>
      </c>
      <c r="L174" s="134"/>
      <c r="M174" s="134">
        <v>0</v>
      </c>
      <c r="N174" s="134">
        <v>0</v>
      </c>
      <c r="O174" s="134">
        <v>0</v>
      </c>
      <c r="P174" s="134">
        <v>0</v>
      </c>
      <c r="Q174" s="140">
        <v>0</v>
      </c>
      <c r="R174" s="139">
        <v>5</v>
      </c>
      <c r="S174" s="134">
        <v>120</v>
      </c>
      <c r="T174" s="134">
        <v>2000</v>
      </c>
      <c r="U174" s="134">
        <v>15</v>
      </c>
      <c r="V174" s="140">
        <v>5</v>
      </c>
      <c r="W174" s="15"/>
    </row>
    <row r="175" spans="1:23" ht="17.100000000000001" customHeight="1" x14ac:dyDescent="0.3">
      <c r="A175" s="139">
        <v>10138</v>
      </c>
      <c r="B175" s="135" t="s">
        <v>88</v>
      </c>
      <c r="C175" s="134" t="s">
        <v>270</v>
      </c>
      <c r="D175" s="134">
        <v>3</v>
      </c>
      <c r="E175" s="134" t="b">
        <v>0</v>
      </c>
      <c r="F175" s="134">
        <v>180</v>
      </c>
      <c r="G175" s="134" t="s">
        <v>127</v>
      </c>
      <c r="H175" s="137">
        <v>3</v>
      </c>
      <c r="I175" s="137">
        <v>0.3</v>
      </c>
      <c r="J175" s="134" t="s">
        <v>189</v>
      </c>
      <c r="K175" s="134" t="s">
        <v>129</v>
      </c>
      <c r="L175" s="134"/>
      <c r="M175" s="134">
        <v>0</v>
      </c>
      <c r="N175" s="134">
        <v>0</v>
      </c>
      <c r="O175" s="134">
        <v>3</v>
      </c>
      <c r="P175" s="134">
        <v>3</v>
      </c>
      <c r="Q175" s="140">
        <v>0</v>
      </c>
      <c r="R175" s="139">
        <v>5</v>
      </c>
      <c r="S175" s="134">
        <v>230</v>
      </c>
      <c r="T175" s="134">
        <v>5500</v>
      </c>
      <c r="U175" s="134">
        <v>40</v>
      </c>
      <c r="V175" s="140">
        <v>20</v>
      </c>
      <c r="W175" s="15"/>
    </row>
    <row r="176" spans="1:23" ht="17.100000000000001" customHeight="1" x14ac:dyDescent="0.3">
      <c r="A176" s="139">
        <v>10139</v>
      </c>
      <c r="B176" s="135" t="s">
        <v>88</v>
      </c>
      <c r="C176" s="134" t="s">
        <v>271</v>
      </c>
      <c r="D176" s="134">
        <v>3</v>
      </c>
      <c r="E176" s="134" t="b">
        <v>0</v>
      </c>
      <c r="F176" s="134">
        <v>145</v>
      </c>
      <c r="G176" s="134" t="s">
        <v>127</v>
      </c>
      <c r="H176" s="134" t="s">
        <v>112</v>
      </c>
      <c r="I176" s="137">
        <v>0.4</v>
      </c>
      <c r="J176" s="134" t="s">
        <v>172</v>
      </c>
      <c r="K176" s="134" t="s">
        <v>137</v>
      </c>
      <c r="L176" s="134"/>
      <c r="M176" s="134">
        <v>0</v>
      </c>
      <c r="N176" s="134">
        <v>0</v>
      </c>
      <c r="O176" s="134">
        <v>0</v>
      </c>
      <c r="P176" s="134">
        <v>0</v>
      </c>
      <c r="Q176" s="140">
        <v>0</v>
      </c>
      <c r="R176" s="139">
        <v>5</v>
      </c>
      <c r="S176" s="134">
        <v>120</v>
      </c>
      <c r="T176" s="134">
        <v>2000</v>
      </c>
      <c r="U176" s="134">
        <v>15</v>
      </c>
      <c r="V176" s="140">
        <v>5</v>
      </c>
      <c r="W176" s="15"/>
    </row>
    <row r="177" spans="1:23" ht="17.100000000000001" customHeight="1" x14ac:dyDescent="0.3">
      <c r="A177" s="139">
        <v>10140</v>
      </c>
      <c r="B177" s="135" t="s">
        <v>88</v>
      </c>
      <c r="C177" s="134" t="s">
        <v>272</v>
      </c>
      <c r="D177" s="134">
        <v>3</v>
      </c>
      <c r="E177" s="134" t="b">
        <v>0</v>
      </c>
      <c r="F177" s="134">
        <v>150</v>
      </c>
      <c r="G177" s="134" t="s">
        <v>127</v>
      </c>
      <c r="H177" s="134" t="s">
        <v>112</v>
      </c>
      <c r="I177" s="137">
        <v>0.4</v>
      </c>
      <c r="J177" s="134" t="s">
        <v>134</v>
      </c>
      <c r="K177" s="134" t="s">
        <v>129</v>
      </c>
      <c r="L177" s="134"/>
      <c r="M177" s="134">
        <v>0</v>
      </c>
      <c r="N177" s="134">
        <v>0</v>
      </c>
      <c r="O177" s="134">
        <v>0</v>
      </c>
      <c r="P177" s="134">
        <v>1</v>
      </c>
      <c r="Q177" s="140">
        <v>0</v>
      </c>
      <c r="R177" s="139">
        <v>5</v>
      </c>
      <c r="S177" s="134">
        <v>170</v>
      </c>
      <c r="T177" s="134">
        <v>3500</v>
      </c>
      <c r="U177" s="134">
        <v>25</v>
      </c>
      <c r="V177" s="140">
        <v>10</v>
      </c>
      <c r="W177" s="15"/>
    </row>
    <row r="178" spans="1:23" ht="17.100000000000001" customHeight="1" x14ac:dyDescent="0.3">
      <c r="A178" s="139">
        <v>10141</v>
      </c>
      <c r="B178" s="135" t="s">
        <v>88</v>
      </c>
      <c r="C178" s="134" t="s">
        <v>273</v>
      </c>
      <c r="D178" s="134">
        <v>3</v>
      </c>
      <c r="E178" s="134" t="b">
        <v>0</v>
      </c>
      <c r="F178" s="134">
        <v>155</v>
      </c>
      <c r="G178" s="134" t="s">
        <v>127</v>
      </c>
      <c r="H178" s="134" t="s">
        <v>112</v>
      </c>
      <c r="I178" s="137">
        <v>0.4</v>
      </c>
      <c r="J178" s="134" t="s">
        <v>264</v>
      </c>
      <c r="K178" s="134" t="s">
        <v>129</v>
      </c>
      <c r="L178" s="134"/>
      <c r="M178" s="134">
        <v>0</v>
      </c>
      <c r="N178" s="134">
        <v>0</v>
      </c>
      <c r="O178" s="134">
        <v>1</v>
      </c>
      <c r="P178" s="134">
        <v>1</v>
      </c>
      <c r="Q178" s="140">
        <v>0</v>
      </c>
      <c r="R178" s="139">
        <v>5</v>
      </c>
      <c r="S178" s="134">
        <v>170</v>
      </c>
      <c r="T178" s="134">
        <v>3500</v>
      </c>
      <c r="U178" s="134">
        <v>25</v>
      </c>
      <c r="V178" s="140">
        <v>10</v>
      </c>
      <c r="W178" s="15"/>
    </row>
    <row r="179" spans="1:23" ht="17.100000000000001" customHeight="1" x14ac:dyDescent="0.3">
      <c r="A179" s="139">
        <v>10142</v>
      </c>
      <c r="B179" s="135" t="s">
        <v>88</v>
      </c>
      <c r="C179" s="134" t="s">
        <v>274</v>
      </c>
      <c r="D179" s="134">
        <v>3</v>
      </c>
      <c r="E179" s="134" t="b">
        <v>0</v>
      </c>
      <c r="F179" s="134">
        <v>75</v>
      </c>
      <c r="G179" s="134" t="s">
        <v>46</v>
      </c>
      <c r="H179" s="137">
        <v>2</v>
      </c>
      <c r="I179" s="137">
        <v>0.6</v>
      </c>
      <c r="J179" s="134" t="s">
        <v>213</v>
      </c>
      <c r="K179" s="134" t="s">
        <v>54</v>
      </c>
      <c r="L179" s="134"/>
      <c r="M179" s="134">
        <v>0</v>
      </c>
      <c r="N179" s="134">
        <v>0</v>
      </c>
      <c r="O179" s="134">
        <v>0</v>
      </c>
      <c r="P179" s="134">
        <v>0</v>
      </c>
      <c r="Q179" s="140">
        <v>0</v>
      </c>
      <c r="R179" s="139">
        <v>5</v>
      </c>
      <c r="S179" s="134">
        <v>80</v>
      </c>
      <c r="T179" s="134">
        <v>1000</v>
      </c>
      <c r="U179" s="134">
        <v>10</v>
      </c>
      <c r="V179" s="140">
        <v>0</v>
      </c>
      <c r="W179" s="15"/>
    </row>
    <row r="180" spans="1:23" ht="17.100000000000001" customHeight="1" x14ac:dyDescent="0.3">
      <c r="A180" s="139">
        <v>10143</v>
      </c>
      <c r="B180" s="135" t="s">
        <v>88</v>
      </c>
      <c r="C180" s="134" t="s">
        <v>275</v>
      </c>
      <c r="D180" s="134">
        <v>3</v>
      </c>
      <c r="E180" s="134" t="b">
        <v>0</v>
      </c>
      <c r="F180" s="134">
        <v>130</v>
      </c>
      <c r="G180" s="134" t="s">
        <v>127</v>
      </c>
      <c r="H180" s="134" t="s">
        <v>112</v>
      </c>
      <c r="I180" s="137">
        <v>0.4</v>
      </c>
      <c r="J180" s="134" t="s">
        <v>139</v>
      </c>
      <c r="K180" s="134" t="s">
        <v>137</v>
      </c>
      <c r="L180" s="134"/>
      <c r="M180" s="134">
        <v>0</v>
      </c>
      <c r="N180" s="134">
        <v>0</v>
      </c>
      <c r="O180" s="134">
        <v>0</v>
      </c>
      <c r="P180" s="134">
        <v>0</v>
      </c>
      <c r="Q180" s="140">
        <v>0</v>
      </c>
      <c r="R180" s="139">
        <v>5</v>
      </c>
      <c r="S180" s="134">
        <v>120</v>
      </c>
      <c r="T180" s="134">
        <v>2000</v>
      </c>
      <c r="U180" s="134">
        <v>15</v>
      </c>
      <c r="V180" s="140">
        <v>5</v>
      </c>
      <c r="W180" s="15"/>
    </row>
    <row r="181" spans="1:23" ht="17.100000000000001" customHeight="1" x14ac:dyDescent="0.3">
      <c r="A181" s="139">
        <v>10144</v>
      </c>
      <c r="B181" s="135" t="s">
        <v>88</v>
      </c>
      <c r="C181" s="134" t="s">
        <v>276</v>
      </c>
      <c r="D181" s="134">
        <v>3</v>
      </c>
      <c r="E181" s="134" t="b">
        <v>0</v>
      </c>
      <c r="F181" s="134">
        <v>140</v>
      </c>
      <c r="G181" s="134" t="s">
        <v>127</v>
      </c>
      <c r="H181" s="134" t="s">
        <v>112</v>
      </c>
      <c r="I181" s="137">
        <v>0.4</v>
      </c>
      <c r="J181" s="134" t="s">
        <v>155</v>
      </c>
      <c r="K181" s="134" t="s">
        <v>137</v>
      </c>
      <c r="L181" s="134"/>
      <c r="M181" s="134">
        <v>0</v>
      </c>
      <c r="N181" s="134">
        <v>0</v>
      </c>
      <c r="O181" s="134">
        <v>0</v>
      </c>
      <c r="P181" s="134">
        <v>0</v>
      </c>
      <c r="Q181" s="140">
        <v>0</v>
      </c>
      <c r="R181" s="139">
        <v>5</v>
      </c>
      <c r="S181" s="134">
        <v>120</v>
      </c>
      <c r="T181" s="134">
        <v>2000</v>
      </c>
      <c r="U181" s="134">
        <v>15</v>
      </c>
      <c r="V181" s="140">
        <v>5</v>
      </c>
      <c r="W181" s="15"/>
    </row>
    <row r="182" spans="1:23" ht="17.100000000000001" customHeight="1" x14ac:dyDescent="0.3">
      <c r="A182" s="139">
        <v>10145</v>
      </c>
      <c r="B182" s="135" t="s">
        <v>88</v>
      </c>
      <c r="C182" s="134" t="s">
        <v>277</v>
      </c>
      <c r="D182" s="134">
        <v>3</v>
      </c>
      <c r="E182" s="134" t="b">
        <v>0</v>
      </c>
      <c r="F182" s="134">
        <v>170</v>
      </c>
      <c r="G182" s="134" t="s">
        <v>127</v>
      </c>
      <c r="H182" s="137">
        <v>3</v>
      </c>
      <c r="I182" s="137">
        <v>0.3</v>
      </c>
      <c r="J182" s="134" t="s">
        <v>148</v>
      </c>
      <c r="K182" s="134" t="s">
        <v>129</v>
      </c>
      <c r="L182" s="134"/>
      <c r="M182" s="134">
        <v>0</v>
      </c>
      <c r="N182" s="134">
        <v>0</v>
      </c>
      <c r="O182" s="134">
        <v>2</v>
      </c>
      <c r="P182" s="134">
        <v>2</v>
      </c>
      <c r="Q182" s="140">
        <v>0</v>
      </c>
      <c r="R182" s="139">
        <v>5</v>
      </c>
      <c r="S182" s="134">
        <v>170</v>
      </c>
      <c r="T182" s="134">
        <v>3500</v>
      </c>
      <c r="U182" s="134">
        <v>25</v>
      </c>
      <c r="V182" s="140">
        <v>10</v>
      </c>
      <c r="W182" s="15"/>
    </row>
    <row r="183" spans="1:23" ht="17.100000000000001" customHeight="1" x14ac:dyDescent="0.3">
      <c r="A183" s="139">
        <v>10146</v>
      </c>
      <c r="B183" s="135" t="s">
        <v>88</v>
      </c>
      <c r="C183" s="134" t="s">
        <v>278</v>
      </c>
      <c r="D183" s="134">
        <v>3</v>
      </c>
      <c r="E183" s="134" t="b">
        <v>0</v>
      </c>
      <c r="F183" s="134">
        <v>185</v>
      </c>
      <c r="G183" s="134" t="s">
        <v>127</v>
      </c>
      <c r="H183" s="137">
        <v>3</v>
      </c>
      <c r="I183" s="137">
        <v>0.2</v>
      </c>
      <c r="J183" s="134" t="s">
        <v>142</v>
      </c>
      <c r="K183" s="134" t="s">
        <v>129</v>
      </c>
      <c r="L183" s="134"/>
      <c r="M183" s="134">
        <v>0</v>
      </c>
      <c r="N183" s="134">
        <v>0</v>
      </c>
      <c r="O183" s="134">
        <v>3</v>
      </c>
      <c r="P183" s="134">
        <v>4</v>
      </c>
      <c r="Q183" s="140">
        <v>0</v>
      </c>
      <c r="R183" s="139">
        <v>5</v>
      </c>
      <c r="S183" s="134">
        <v>230</v>
      </c>
      <c r="T183" s="134">
        <v>5500</v>
      </c>
      <c r="U183" s="134">
        <v>40</v>
      </c>
      <c r="V183" s="140">
        <v>20</v>
      </c>
      <c r="W183" s="15"/>
    </row>
    <row r="184" spans="1:23" ht="17.100000000000001" customHeight="1" x14ac:dyDescent="0.3">
      <c r="A184" s="139">
        <v>10147</v>
      </c>
      <c r="B184" s="135" t="s">
        <v>88</v>
      </c>
      <c r="C184" s="134" t="s">
        <v>279</v>
      </c>
      <c r="D184" s="134">
        <v>3</v>
      </c>
      <c r="E184" s="134" t="b">
        <v>0</v>
      </c>
      <c r="F184" s="134">
        <v>135</v>
      </c>
      <c r="G184" s="134" t="s">
        <v>127</v>
      </c>
      <c r="H184" s="134" t="s">
        <v>112</v>
      </c>
      <c r="I184" s="137">
        <v>0.4</v>
      </c>
      <c r="J184" s="134" t="s">
        <v>136</v>
      </c>
      <c r="K184" s="134" t="s">
        <v>137</v>
      </c>
      <c r="L184" s="134"/>
      <c r="M184" s="134">
        <v>0</v>
      </c>
      <c r="N184" s="134">
        <v>0</v>
      </c>
      <c r="O184" s="134">
        <v>0</v>
      </c>
      <c r="P184" s="134">
        <v>0</v>
      </c>
      <c r="Q184" s="140">
        <v>0</v>
      </c>
      <c r="R184" s="139">
        <v>5</v>
      </c>
      <c r="S184" s="134">
        <v>120</v>
      </c>
      <c r="T184" s="134">
        <v>2000</v>
      </c>
      <c r="U184" s="134">
        <v>15</v>
      </c>
      <c r="V184" s="140">
        <v>5</v>
      </c>
      <c r="W184" s="15"/>
    </row>
    <row r="185" spans="1:23" ht="17.100000000000001" customHeight="1" x14ac:dyDescent="0.3">
      <c r="A185" s="139">
        <v>10148</v>
      </c>
      <c r="B185" s="135" t="s">
        <v>88</v>
      </c>
      <c r="C185" s="134" t="s">
        <v>280</v>
      </c>
      <c r="D185" s="134">
        <v>3</v>
      </c>
      <c r="E185" s="134" t="b">
        <v>0</v>
      </c>
      <c r="F185" s="134">
        <v>165</v>
      </c>
      <c r="G185" s="134" t="s">
        <v>127</v>
      </c>
      <c r="H185" s="134" t="s">
        <v>112</v>
      </c>
      <c r="I185" s="137">
        <v>0.3</v>
      </c>
      <c r="J185" s="134" t="s">
        <v>252</v>
      </c>
      <c r="K185" s="134" t="s">
        <v>129</v>
      </c>
      <c r="L185" s="134"/>
      <c r="M185" s="134">
        <v>0</v>
      </c>
      <c r="N185" s="134">
        <v>0</v>
      </c>
      <c r="O185" s="134">
        <v>1</v>
      </c>
      <c r="P185" s="134">
        <v>2</v>
      </c>
      <c r="Q185" s="140">
        <v>0</v>
      </c>
      <c r="R185" s="139">
        <v>5</v>
      </c>
      <c r="S185" s="134">
        <v>170</v>
      </c>
      <c r="T185" s="134">
        <v>3500</v>
      </c>
      <c r="U185" s="134">
        <v>25</v>
      </c>
      <c r="V185" s="140">
        <v>10</v>
      </c>
      <c r="W185" s="15"/>
    </row>
    <row r="186" spans="1:23" ht="17.100000000000001" customHeight="1" x14ac:dyDescent="0.3">
      <c r="A186" s="139">
        <v>10149</v>
      </c>
      <c r="B186" s="135" t="s">
        <v>88</v>
      </c>
      <c r="C186" s="134" t="s">
        <v>281</v>
      </c>
      <c r="D186" s="134">
        <v>3</v>
      </c>
      <c r="E186" s="134" t="b">
        <v>0</v>
      </c>
      <c r="F186" s="134">
        <v>130</v>
      </c>
      <c r="G186" s="134" t="s">
        <v>127</v>
      </c>
      <c r="H186" s="134" t="s">
        <v>112</v>
      </c>
      <c r="I186" s="137">
        <v>0.4</v>
      </c>
      <c r="J186" s="134" t="s">
        <v>139</v>
      </c>
      <c r="K186" s="134" t="s">
        <v>137</v>
      </c>
      <c r="L186" s="134"/>
      <c r="M186" s="134">
        <v>0</v>
      </c>
      <c r="N186" s="134">
        <v>0</v>
      </c>
      <c r="O186" s="134">
        <v>0</v>
      </c>
      <c r="P186" s="134">
        <v>0</v>
      </c>
      <c r="Q186" s="140">
        <v>0</v>
      </c>
      <c r="R186" s="139">
        <v>5</v>
      </c>
      <c r="S186" s="134">
        <v>120</v>
      </c>
      <c r="T186" s="134">
        <v>2000</v>
      </c>
      <c r="U186" s="134">
        <v>15</v>
      </c>
      <c r="V186" s="140">
        <v>5</v>
      </c>
      <c r="W186" s="15"/>
    </row>
    <row r="187" spans="1:23" ht="17.100000000000001" customHeight="1" x14ac:dyDescent="0.3">
      <c r="A187" s="139">
        <v>10150</v>
      </c>
      <c r="B187" s="135" t="s">
        <v>88</v>
      </c>
      <c r="C187" s="134" t="s">
        <v>282</v>
      </c>
      <c r="D187" s="134">
        <v>3</v>
      </c>
      <c r="E187" s="134" t="b">
        <v>0</v>
      </c>
      <c r="F187" s="134">
        <v>170</v>
      </c>
      <c r="G187" s="134" t="s">
        <v>127</v>
      </c>
      <c r="H187" s="137">
        <v>3</v>
      </c>
      <c r="I187" s="137">
        <v>0.3</v>
      </c>
      <c r="J187" s="134" t="s">
        <v>148</v>
      </c>
      <c r="K187" s="134" t="s">
        <v>129</v>
      </c>
      <c r="L187" s="134"/>
      <c r="M187" s="134">
        <v>0</v>
      </c>
      <c r="N187" s="134">
        <v>0</v>
      </c>
      <c r="O187" s="134">
        <v>2</v>
      </c>
      <c r="P187" s="134">
        <v>2</v>
      </c>
      <c r="Q187" s="140">
        <v>0</v>
      </c>
      <c r="R187" s="139">
        <v>5</v>
      </c>
      <c r="S187" s="134">
        <v>170</v>
      </c>
      <c r="T187" s="134">
        <v>3500</v>
      </c>
      <c r="U187" s="134">
        <v>25</v>
      </c>
      <c r="V187" s="140">
        <v>10</v>
      </c>
      <c r="W187" s="15"/>
    </row>
    <row r="188" spans="1:23" ht="17.100000000000001" customHeight="1" x14ac:dyDescent="0.3">
      <c r="A188" s="139">
        <v>10151</v>
      </c>
      <c r="B188" s="135" t="s">
        <v>88</v>
      </c>
      <c r="C188" s="134" t="s">
        <v>283</v>
      </c>
      <c r="D188" s="134">
        <v>3</v>
      </c>
      <c r="E188" s="134" t="b">
        <v>0</v>
      </c>
      <c r="F188" s="134">
        <v>180</v>
      </c>
      <c r="G188" s="134" t="s">
        <v>127</v>
      </c>
      <c r="H188" s="137">
        <v>3</v>
      </c>
      <c r="I188" s="137">
        <v>0.3</v>
      </c>
      <c r="J188" s="134" t="s">
        <v>189</v>
      </c>
      <c r="K188" s="134" t="s">
        <v>129</v>
      </c>
      <c r="L188" s="134"/>
      <c r="M188" s="134">
        <v>0</v>
      </c>
      <c r="N188" s="134">
        <v>0</v>
      </c>
      <c r="O188" s="134">
        <v>2</v>
      </c>
      <c r="P188" s="134">
        <v>3</v>
      </c>
      <c r="Q188" s="140">
        <v>0</v>
      </c>
      <c r="R188" s="139">
        <v>5</v>
      </c>
      <c r="S188" s="134">
        <v>230</v>
      </c>
      <c r="T188" s="134">
        <v>5500</v>
      </c>
      <c r="U188" s="134">
        <v>40</v>
      </c>
      <c r="V188" s="140">
        <v>20</v>
      </c>
      <c r="W188" s="15"/>
    </row>
    <row r="189" spans="1:23" ht="17.100000000000001" customHeight="1" x14ac:dyDescent="0.3">
      <c r="A189" s="139">
        <v>10152</v>
      </c>
      <c r="B189" s="135" t="s">
        <v>88</v>
      </c>
      <c r="C189" s="134" t="s">
        <v>284</v>
      </c>
      <c r="D189" s="134">
        <v>3</v>
      </c>
      <c r="E189" s="134" t="b">
        <v>0</v>
      </c>
      <c r="F189" s="134">
        <v>120</v>
      </c>
      <c r="G189" s="134" t="s">
        <v>127</v>
      </c>
      <c r="H189" s="137">
        <v>2</v>
      </c>
      <c r="I189" s="137">
        <v>0.5</v>
      </c>
      <c r="J189" s="134" t="s">
        <v>178</v>
      </c>
      <c r="K189" s="134" t="s">
        <v>137</v>
      </c>
      <c r="L189" s="134"/>
      <c r="M189" s="134">
        <v>0</v>
      </c>
      <c r="N189" s="134">
        <v>0</v>
      </c>
      <c r="O189" s="134">
        <v>0</v>
      </c>
      <c r="P189" s="134">
        <v>0</v>
      </c>
      <c r="Q189" s="140">
        <v>0</v>
      </c>
      <c r="R189" s="139">
        <v>5</v>
      </c>
      <c r="S189" s="134">
        <v>80</v>
      </c>
      <c r="T189" s="134">
        <v>1000</v>
      </c>
      <c r="U189" s="134">
        <v>10</v>
      </c>
      <c r="V189" s="140">
        <v>0</v>
      </c>
      <c r="W189" s="15"/>
    </row>
    <row r="190" spans="1:23" ht="17.100000000000001" customHeight="1" x14ac:dyDescent="0.3">
      <c r="A190" s="139">
        <v>10153</v>
      </c>
      <c r="B190" s="135" t="s">
        <v>88</v>
      </c>
      <c r="C190" s="134" t="s">
        <v>285</v>
      </c>
      <c r="D190" s="134">
        <v>3</v>
      </c>
      <c r="E190" s="134" t="b">
        <v>0</v>
      </c>
      <c r="F190" s="134">
        <v>140</v>
      </c>
      <c r="G190" s="134" t="s">
        <v>127</v>
      </c>
      <c r="H190" s="134" t="s">
        <v>112</v>
      </c>
      <c r="I190" s="137">
        <v>0.4</v>
      </c>
      <c r="J190" s="134" t="s">
        <v>155</v>
      </c>
      <c r="K190" s="134" t="s">
        <v>137</v>
      </c>
      <c r="L190" s="134"/>
      <c r="M190" s="134">
        <v>0</v>
      </c>
      <c r="N190" s="134">
        <v>0</v>
      </c>
      <c r="O190" s="134">
        <v>0</v>
      </c>
      <c r="P190" s="134">
        <v>0</v>
      </c>
      <c r="Q190" s="140">
        <v>0</v>
      </c>
      <c r="R190" s="139">
        <v>5</v>
      </c>
      <c r="S190" s="134">
        <v>120</v>
      </c>
      <c r="T190" s="134">
        <v>2000</v>
      </c>
      <c r="U190" s="134">
        <v>15</v>
      </c>
      <c r="V190" s="140">
        <v>5</v>
      </c>
      <c r="W190" s="15"/>
    </row>
    <row r="191" spans="1:23" ht="17.100000000000001" customHeight="1" x14ac:dyDescent="0.3">
      <c r="A191" s="139">
        <v>10154</v>
      </c>
      <c r="B191" s="135" t="s">
        <v>88</v>
      </c>
      <c r="C191" s="134" t="s">
        <v>286</v>
      </c>
      <c r="D191" s="134">
        <v>3</v>
      </c>
      <c r="E191" s="134" t="b">
        <v>0</v>
      </c>
      <c r="F191" s="134">
        <v>145</v>
      </c>
      <c r="G191" s="134" t="s">
        <v>127</v>
      </c>
      <c r="H191" s="134" t="s">
        <v>112</v>
      </c>
      <c r="I191" s="137">
        <v>0.4</v>
      </c>
      <c r="J191" s="134" t="s">
        <v>172</v>
      </c>
      <c r="K191" s="134" t="s">
        <v>137</v>
      </c>
      <c r="L191" s="134"/>
      <c r="M191" s="134">
        <v>0</v>
      </c>
      <c r="N191" s="134">
        <v>0</v>
      </c>
      <c r="O191" s="134">
        <v>0</v>
      </c>
      <c r="P191" s="134">
        <v>0</v>
      </c>
      <c r="Q191" s="140">
        <v>0</v>
      </c>
      <c r="R191" s="139">
        <v>5</v>
      </c>
      <c r="S191" s="134">
        <v>120</v>
      </c>
      <c r="T191" s="134">
        <v>2000</v>
      </c>
      <c r="U191" s="134">
        <v>15</v>
      </c>
      <c r="V191" s="140">
        <v>5</v>
      </c>
      <c r="W191" s="15"/>
    </row>
    <row r="192" spans="1:23" ht="17.100000000000001" customHeight="1" x14ac:dyDescent="0.3">
      <c r="A192" s="139">
        <v>10155</v>
      </c>
      <c r="B192" s="135" t="s">
        <v>88</v>
      </c>
      <c r="C192" s="134" t="s">
        <v>287</v>
      </c>
      <c r="D192" s="134">
        <v>3</v>
      </c>
      <c r="E192" s="134" t="b">
        <v>0</v>
      </c>
      <c r="F192" s="134">
        <v>160</v>
      </c>
      <c r="G192" s="134" t="s">
        <v>127</v>
      </c>
      <c r="H192" s="134" t="s">
        <v>112</v>
      </c>
      <c r="I192" s="137">
        <v>0.4</v>
      </c>
      <c r="J192" s="134" t="s">
        <v>166</v>
      </c>
      <c r="K192" s="134" t="s">
        <v>129</v>
      </c>
      <c r="L192" s="134"/>
      <c r="M192" s="134">
        <v>0</v>
      </c>
      <c r="N192" s="134">
        <v>0</v>
      </c>
      <c r="O192" s="134">
        <v>1</v>
      </c>
      <c r="P192" s="134">
        <v>1</v>
      </c>
      <c r="Q192" s="140">
        <v>0</v>
      </c>
      <c r="R192" s="139">
        <v>5</v>
      </c>
      <c r="S192" s="134">
        <v>170</v>
      </c>
      <c r="T192" s="134">
        <v>3500</v>
      </c>
      <c r="U192" s="134">
        <v>25</v>
      </c>
      <c r="V192" s="140">
        <v>10</v>
      </c>
      <c r="W192" s="15"/>
    </row>
    <row r="193" spans="1:23" ht="17.100000000000001" customHeight="1" x14ac:dyDescent="0.3">
      <c r="A193" s="139">
        <v>10156</v>
      </c>
      <c r="B193" s="135" t="s">
        <v>88</v>
      </c>
      <c r="C193" s="134" t="s">
        <v>288</v>
      </c>
      <c r="D193" s="134">
        <v>3</v>
      </c>
      <c r="E193" s="134" t="b">
        <v>0</v>
      </c>
      <c r="F193" s="134">
        <v>125</v>
      </c>
      <c r="G193" s="134" t="s">
        <v>127</v>
      </c>
      <c r="H193" s="137">
        <v>2</v>
      </c>
      <c r="I193" s="137">
        <v>0.5</v>
      </c>
      <c r="J193" s="134" t="s">
        <v>150</v>
      </c>
      <c r="K193" s="134" t="s">
        <v>137</v>
      </c>
      <c r="L193" s="134"/>
      <c r="M193" s="134">
        <v>0</v>
      </c>
      <c r="N193" s="134">
        <v>0</v>
      </c>
      <c r="O193" s="134">
        <v>0</v>
      </c>
      <c r="P193" s="134">
        <v>0</v>
      </c>
      <c r="Q193" s="140">
        <v>0</v>
      </c>
      <c r="R193" s="139">
        <v>5</v>
      </c>
      <c r="S193" s="134">
        <v>120</v>
      </c>
      <c r="T193" s="134">
        <v>2000</v>
      </c>
      <c r="U193" s="134">
        <v>15</v>
      </c>
      <c r="V193" s="140">
        <v>5</v>
      </c>
      <c r="W193" s="15"/>
    </row>
    <row r="194" spans="1:23" ht="17.100000000000001" customHeight="1" x14ac:dyDescent="0.3">
      <c r="A194" s="139">
        <v>10157</v>
      </c>
      <c r="B194" s="135" t="s">
        <v>88</v>
      </c>
      <c r="C194" s="134" t="s">
        <v>289</v>
      </c>
      <c r="D194" s="134">
        <v>3</v>
      </c>
      <c r="E194" s="134" t="b">
        <v>0</v>
      </c>
      <c r="F194" s="134">
        <v>65</v>
      </c>
      <c r="G194" s="134" t="s">
        <v>46</v>
      </c>
      <c r="H194" s="137">
        <v>1</v>
      </c>
      <c r="I194" s="137">
        <v>0.7</v>
      </c>
      <c r="J194" s="134" t="s">
        <v>91</v>
      </c>
      <c r="K194" s="134" t="s">
        <v>54</v>
      </c>
      <c r="L194" s="134"/>
      <c r="M194" s="134">
        <v>0</v>
      </c>
      <c r="N194" s="134">
        <v>0</v>
      </c>
      <c r="O194" s="134">
        <v>0</v>
      </c>
      <c r="P194" s="134">
        <v>0</v>
      </c>
      <c r="Q194" s="140">
        <v>0</v>
      </c>
      <c r="R194" s="139">
        <v>5</v>
      </c>
      <c r="S194" s="134">
        <v>50</v>
      </c>
      <c r="T194" s="134">
        <v>500</v>
      </c>
      <c r="U194" s="134">
        <v>5</v>
      </c>
      <c r="V194" s="140">
        <v>0</v>
      </c>
      <c r="W194" s="15"/>
    </row>
    <row r="195" spans="1:23" ht="17.100000000000001" customHeight="1" x14ac:dyDescent="0.3">
      <c r="A195" s="139">
        <v>10158</v>
      </c>
      <c r="B195" s="135" t="s">
        <v>88</v>
      </c>
      <c r="C195" s="134" t="s">
        <v>290</v>
      </c>
      <c r="D195" s="134">
        <v>3</v>
      </c>
      <c r="E195" s="134" t="b">
        <v>0</v>
      </c>
      <c r="F195" s="134">
        <v>125</v>
      </c>
      <c r="G195" s="134" t="s">
        <v>127</v>
      </c>
      <c r="H195" s="137">
        <v>2</v>
      </c>
      <c r="I195" s="137">
        <v>0.5</v>
      </c>
      <c r="J195" s="134" t="s">
        <v>150</v>
      </c>
      <c r="K195" s="134" t="s">
        <v>137</v>
      </c>
      <c r="L195" s="134"/>
      <c r="M195" s="134">
        <v>0</v>
      </c>
      <c r="N195" s="134">
        <v>0</v>
      </c>
      <c r="O195" s="134">
        <v>0</v>
      </c>
      <c r="P195" s="134">
        <v>0</v>
      </c>
      <c r="Q195" s="140">
        <v>0</v>
      </c>
      <c r="R195" s="139">
        <v>5</v>
      </c>
      <c r="S195" s="134">
        <v>120</v>
      </c>
      <c r="T195" s="134">
        <v>2000</v>
      </c>
      <c r="U195" s="134">
        <v>15</v>
      </c>
      <c r="V195" s="140">
        <v>5</v>
      </c>
      <c r="W195" s="15"/>
    </row>
    <row r="196" spans="1:23" ht="17.100000000000001" customHeight="1" x14ac:dyDescent="0.3">
      <c r="A196" s="139">
        <v>10159</v>
      </c>
      <c r="B196" s="135" t="s">
        <v>88</v>
      </c>
      <c r="C196" s="134" t="s">
        <v>291</v>
      </c>
      <c r="D196" s="134">
        <v>3</v>
      </c>
      <c r="E196" s="134" t="b">
        <v>0</v>
      </c>
      <c r="F196" s="134">
        <v>170</v>
      </c>
      <c r="G196" s="134" t="s">
        <v>127</v>
      </c>
      <c r="H196" s="137">
        <v>3</v>
      </c>
      <c r="I196" s="137">
        <v>0.3</v>
      </c>
      <c r="J196" s="134" t="s">
        <v>148</v>
      </c>
      <c r="K196" s="134" t="s">
        <v>129</v>
      </c>
      <c r="L196" s="134"/>
      <c r="M196" s="134">
        <v>0</v>
      </c>
      <c r="N196" s="134">
        <v>0</v>
      </c>
      <c r="O196" s="134">
        <v>2</v>
      </c>
      <c r="P196" s="134">
        <v>2</v>
      </c>
      <c r="Q196" s="140">
        <v>0</v>
      </c>
      <c r="R196" s="139">
        <v>5</v>
      </c>
      <c r="S196" s="134">
        <v>170</v>
      </c>
      <c r="T196" s="134">
        <v>3500</v>
      </c>
      <c r="U196" s="134">
        <v>25</v>
      </c>
      <c r="V196" s="140">
        <v>10</v>
      </c>
      <c r="W196" s="15"/>
    </row>
    <row r="197" spans="1:23" ht="17.100000000000001" customHeight="1" x14ac:dyDescent="0.3">
      <c r="A197" s="139">
        <v>10160</v>
      </c>
      <c r="B197" s="135" t="s">
        <v>88</v>
      </c>
      <c r="C197" s="134" t="s">
        <v>292</v>
      </c>
      <c r="D197" s="134">
        <v>3</v>
      </c>
      <c r="E197" s="134" t="b">
        <v>0</v>
      </c>
      <c r="F197" s="134">
        <v>130</v>
      </c>
      <c r="G197" s="134" t="s">
        <v>127</v>
      </c>
      <c r="H197" s="137">
        <v>2</v>
      </c>
      <c r="I197" s="137">
        <v>0.5</v>
      </c>
      <c r="J197" s="134" t="s">
        <v>139</v>
      </c>
      <c r="K197" s="134" t="s">
        <v>137</v>
      </c>
      <c r="L197" s="134"/>
      <c r="M197" s="134">
        <v>0</v>
      </c>
      <c r="N197" s="134">
        <v>0</v>
      </c>
      <c r="O197" s="134">
        <v>0</v>
      </c>
      <c r="P197" s="134">
        <v>0</v>
      </c>
      <c r="Q197" s="140">
        <v>0</v>
      </c>
      <c r="R197" s="139">
        <v>5</v>
      </c>
      <c r="S197" s="134">
        <v>120</v>
      </c>
      <c r="T197" s="134">
        <v>2000</v>
      </c>
      <c r="U197" s="134">
        <v>15</v>
      </c>
      <c r="V197" s="140">
        <v>5</v>
      </c>
      <c r="W197" s="15"/>
    </row>
    <row r="198" spans="1:23" ht="17.100000000000001" customHeight="1" x14ac:dyDescent="0.3">
      <c r="A198" s="139">
        <v>10161</v>
      </c>
      <c r="B198" s="135" t="s">
        <v>88</v>
      </c>
      <c r="C198" s="134" t="s">
        <v>293</v>
      </c>
      <c r="D198" s="134">
        <v>3</v>
      </c>
      <c r="E198" s="134" t="b">
        <v>0</v>
      </c>
      <c r="F198" s="134">
        <v>170</v>
      </c>
      <c r="G198" s="134" t="s">
        <v>127</v>
      </c>
      <c r="H198" s="137">
        <v>3</v>
      </c>
      <c r="I198" s="137">
        <v>0.3</v>
      </c>
      <c r="J198" s="134" t="s">
        <v>148</v>
      </c>
      <c r="K198" s="134" t="s">
        <v>129</v>
      </c>
      <c r="L198" s="134"/>
      <c r="M198" s="134">
        <v>0</v>
      </c>
      <c r="N198" s="134">
        <v>0</v>
      </c>
      <c r="O198" s="134">
        <v>1</v>
      </c>
      <c r="P198" s="134">
        <v>2</v>
      </c>
      <c r="Q198" s="140">
        <v>0</v>
      </c>
      <c r="R198" s="139">
        <v>5</v>
      </c>
      <c r="S198" s="134">
        <v>170</v>
      </c>
      <c r="T198" s="134">
        <v>3500</v>
      </c>
      <c r="U198" s="134">
        <v>25</v>
      </c>
      <c r="V198" s="140">
        <v>10</v>
      </c>
      <c r="W198" s="15"/>
    </row>
    <row r="199" spans="1:23" ht="17.100000000000001" customHeight="1" x14ac:dyDescent="0.3">
      <c r="A199" s="139">
        <v>10162</v>
      </c>
      <c r="B199" s="135" t="s">
        <v>88</v>
      </c>
      <c r="C199" s="134" t="s">
        <v>294</v>
      </c>
      <c r="D199" s="134">
        <v>3</v>
      </c>
      <c r="E199" s="134" t="b">
        <v>0</v>
      </c>
      <c r="F199" s="134">
        <v>135</v>
      </c>
      <c r="G199" s="134" t="s">
        <v>127</v>
      </c>
      <c r="H199" s="134" t="s">
        <v>112</v>
      </c>
      <c r="I199" s="137">
        <v>0.4</v>
      </c>
      <c r="J199" s="134" t="s">
        <v>136</v>
      </c>
      <c r="K199" s="134" t="s">
        <v>137</v>
      </c>
      <c r="L199" s="134"/>
      <c r="M199" s="134">
        <v>0</v>
      </c>
      <c r="N199" s="134">
        <v>0</v>
      </c>
      <c r="O199" s="134">
        <v>0</v>
      </c>
      <c r="P199" s="134">
        <v>0</v>
      </c>
      <c r="Q199" s="140">
        <v>0</v>
      </c>
      <c r="R199" s="139">
        <v>5</v>
      </c>
      <c r="S199" s="134">
        <v>120</v>
      </c>
      <c r="T199" s="134">
        <v>2000</v>
      </c>
      <c r="U199" s="134">
        <v>15</v>
      </c>
      <c r="V199" s="140">
        <v>5</v>
      </c>
      <c r="W199" s="15"/>
    </row>
    <row r="200" spans="1:23" ht="17.100000000000001" customHeight="1" x14ac:dyDescent="0.3">
      <c r="A200" s="139">
        <v>10163</v>
      </c>
      <c r="B200" s="135" t="s">
        <v>88</v>
      </c>
      <c r="C200" s="134" t="s">
        <v>295</v>
      </c>
      <c r="D200" s="134">
        <v>3</v>
      </c>
      <c r="E200" s="134" t="b">
        <v>0</v>
      </c>
      <c r="F200" s="134">
        <v>150</v>
      </c>
      <c r="G200" s="134" t="s">
        <v>127</v>
      </c>
      <c r="H200" s="134" t="s">
        <v>112</v>
      </c>
      <c r="I200" s="137">
        <v>0.4</v>
      </c>
      <c r="J200" s="134" t="s">
        <v>207</v>
      </c>
      <c r="K200" s="134" t="s">
        <v>137</v>
      </c>
      <c r="L200" s="134"/>
      <c r="M200" s="134">
        <v>0</v>
      </c>
      <c r="N200" s="134">
        <v>0</v>
      </c>
      <c r="O200" s="134">
        <v>0</v>
      </c>
      <c r="P200" s="134">
        <v>1</v>
      </c>
      <c r="Q200" s="140">
        <v>0</v>
      </c>
      <c r="R200" s="139">
        <v>5</v>
      </c>
      <c r="S200" s="134">
        <v>120</v>
      </c>
      <c r="T200" s="134">
        <v>2000</v>
      </c>
      <c r="U200" s="134">
        <v>15</v>
      </c>
      <c r="V200" s="140">
        <v>5</v>
      </c>
      <c r="W200" s="15"/>
    </row>
    <row r="201" spans="1:23" ht="17.100000000000001" customHeight="1" x14ac:dyDescent="0.3">
      <c r="A201" s="139">
        <v>10164</v>
      </c>
      <c r="B201" s="135" t="s">
        <v>88</v>
      </c>
      <c r="C201" s="134" t="s">
        <v>296</v>
      </c>
      <c r="D201" s="134">
        <v>3</v>
      </c>
      <c r="E201" s="134" t="b">
        <v>0</v>
      </c>
      <c r="F201" s="134">
        <v>200</v>
      </c>
      <c r="G201" s="134" t="s">
        <v>127</v>
      </c>
      <c r="H201" s="137">
        <v>3</v>
      </c>
      <c r="I201" s="137">
        <v>0.2</v>
      </c>
      <c r="J201" s="134" t="s">
        <v>223</v>
      </c>
      <c r="K201" s="134" t="s">
        <v>129</v>
      </c>
      <c r="L201" s="134"/>
      <c r="M201" s="134">
        <v>0</v>
      </c>
      <c r="N201" s="134">
        <v>0</v>
      </c>
      <c r="O201" s="134">
        <v>5</v>
      </c>
      <c r="P201" s="134">
        <v>6</v>
      </c>
      <c r="Q201" s="140">
        <v>0</v>
      </c>
      <c r="R201" s="139">
        <v>5</v>
      </c>
      <c r="S201" s="134">
        <v>230</v>
      </c>
      <c r="T201" s="134">
        <v>5500</v>
      </c>
      <c r="U201" s="134">
        <v>40</v>
      </c>
      <c r="V201" s="140">
        <v>20</v>
      </c>
      <c r="W201" s="15"/>
    </row>
    <row r="202" spans="1:23" ht="17.100000000000001" customHeight="1" x14ac:dyDescent="0.3">
      <c r="A202" s="139">
        <v>10165</v>
      </c>
      <c r="B202" s="135" t="s">
        <v>88</v>
      </c>
      <c r="C202" s="134" t="s">
        <v>297</v>
      </c>
      <c r="D202" s="134">
        <v>3</v>
      </c>
      <c r="E202" s="134" t="b">
        <v>0</v>
      </c>
      <c r="F202" s="134">
        <v>170</v>
      </c>
      <c r="G202" s="134" t="s">
        <v>127</v>
      </c>
      <c r="H202" s="137">
        <v>3</v>
      </c>
      <c r="I202" s="137">
        <v>0.3</v>
      </c>
      <c r="J202" s="134" t="s">
        <v>148</v>
      </c>
      <c r="K202" s="134" t="s">
        <v>129</v>
      </c>
      <c r="L202" s="134"/>
      <c r="M202" s="134">
        <v>0</v>
      </c>
      <c r="N202" s="134">
        <v>0</v>
      </c>
      <c r="O202" s="134">
        <v>2</v>
      </c>
      <c r="P202" s="134">
        <v>2</v>
      </c>
      <c r="Q202" s="140">
        <v>0</v>
      </c>
      <c r="R202" s="139">
        <v>5</v>
      </c>
      <c r="S202" s="134">
        <v>170</v>
      </c>
      <c r="T202" s="134">
        <v>3500</v>
      </c>
      <c r="U202" s="134">
        <v>25</v>
      </c>
      <c r="V202" s="140">
        <v>10</v>
      </c>
      <c r="W202" s="15"/>
    </row>
    <row r="203" spans="1:23" ht="17.100000000000001" customHeight="1" x14ac:dyDescent="0.3">
      <c r="A203" s="139">
        <v>10166</v>
      </c>
      <c r="B203" s="135" t="s">
        <v>88</v>
      </c>
      <c r="C203" s="134" t="s">
        <v>298</v>
      </c>
      <c r="D203" s="134">
        <v>3</v>
      </c>
      <c r="E203" s="134" t="b">
        <v>0</v>
      </c>
      <c r="F203" s="134">
        <v>165</v>
      </c>
      <c r="G203" s="134" t="s">
        <v>127</v>
      </c>
      <c r="H203" s="134" t="s">
        <v>112</v>
      </c>
      <c r="I203" s="137">
        <v>0.3</v>
      </c>
      <c r="J203" s="134" t="s">
        <v>252</v>
      </c>
      <c r="K203" s="134" t="s">
        <v>129</v>
      </c>
      <c r="L203" s="134"/>
      <c r="M203" s="134">
        <v>0</v>
      </c>
      <c r="N203" s="134">
        <v>0</v>
      </c>
      <c r="O203" s="134">
        <v>1</v>
      </c>
      <c r="P203" s="134">
        <v>2</v>
      </c>
      <c r="Q203" s="140">
        <v>0</v>
      </c>
      <c r="R203" s="139">
        <v>5</v>
      </c>
      <c r="S203" s="134">
        <v>170</v>
      </c>
      <c r="T203" s="134">
        <v>3500</v>
      </c>
      <c r="U203" s="134">
        <v>25</v>
      </c>
      <c r="V203" s="140">
        <v>10</v>
      </c>
      <c r="W203" s="15"/>
    </row>
    <row r="204" spans="1:23" ht="17.100000000000001" customHeight="1" x14ac:dyDescent="0.3">
      <c r="A204" s="139">
        <v>10167</v>
      </c>
      <c r="B204" s="135" t="s">
        <v>88</v>
      </c>
      <c r="C204" s="134" t="s">
        <v>299</v>
      </c>
      <c r="D204" s="134">
        <v>3</v>
      </c>
      <c r="E204" s="134" t="b">
        <v>0</v>
      </c>
      <c r="F204" s="134">
        <v>135</v>
      </c>
      <c r="G204" s="134" t="s">
        <v>127</v>
      </c>
      <c r="H204" s="134" t="s">
        <v>112</v>
      </c>
      <c r="I204" s="137">
        <v>0.4</v>
      </c>
      <c r="J204" s="134" t="s">
        <v>136</v>
      </c>
      <c r="K204" s="134" t="s">
        <v>137</v>
      </c>
      <c r="L204" s="134"/>
      <c r="M204" s="134">
        <v>0</v>
      </c>
      <c r="N204" s="134">
        <v>0</v>
      </c>
      <c r="O204" s="134">
        <v>0</v>
      </c>
      <c r="P204" s="134">
        <v>0</v>
      </c>
      <c r="Q204" s="140">
        <v>0</v>
      </c>
      <c r="R204" s="139">
        <v>5</v>
      </c>
      <c r="S204" s="134">
        <v>120</v>
      </c>
      <c r="T204" s="134">
        <v>2000</v>
      </c>
      <c r="U204" s="134">
        <v>15</v>
      </c>
      <c r="V204" s="140">
        <v>5</v>
      </c>
      <c r="W204" s="15"/>
    </row>
    <row r="205" spans="1:23" ht="17.100000000000001" customHeight="1" x14ac:dyDescent="0.3">
      <c r="A205" s="139">
        <v>10168</v>
      </c>
      <c r="B205" s="135" t="s">
        <v>88</v>
      </c>
      <c r="C205" s="134" t="s">
        <v>300</v>
      </c>
      <c r="D205" s="134">
        <v>3</v>
      </c>
      <c r="E205" s="134" t="b">
        <v>0</v>
      </c>
      <c r="F205" s="134">
        <v>145</v>
      </c>
      <c r="G205" s="134" t="s">
        <v>127</v>
      </c>
      <c r="H205" s="134" t="s">
        <v>112</v>
      </c>
      <c r="I205" s="137">
        <v>0.4</v>
      </c>
      <c r="J205" s="134" t="s">
        <v>172</v>
      </c>
      <c r="K205" s="134" t="s">
        <v>137</v>
      </c>
      <c r="L205" s="134"/>
      <c r="M205" s="134">
        <v>0</v>
      </c>
      <c r="N205" s="134">
        <v>0</v>
      </c>
      <c r="O205" s="134">
        <v>0</v>
      </c>
      <c r="P205" s="134">
        <v>0</v>
      </c>
      <c r="Q205" s="140">
        <v>0</v>
      </c>
      <c r="R205" s="139">
        <v>5</v>
      </c>
      <c r="S205" s="134">
        <v>120</v>
      </c>
      <c r="T205" s="134">
        <v>2000</v>
      </c>
      <c r="U205" s="134">
        <v>15</v>
      </c>
      <c r="V205" s="140">
        <v>5</v>
      </c>
      <c r="W205" s="15"/>
    </row>
    <row r="206" spans="1:23" ht="17.100000000000001" customHeight="1" x14ac:dyDescent="0.3">
      <c r="A206" s="139">
        <v>10169</v>
      </c>
      <c r="B206" s="135" t="s">
        <v>88</v>
      </c>
      <c r="C206" s="134" t="s">
        <v>301</v>
      </c>
      <c r="D206" s="134">
        <v>3</v>
      </c>
      <c r="E206" s="134" t="b">
        <v>0</v>
      </c>
      <c r="F206" s="134">
        <v>190</v>
      </c>
      <c r="G206" s="134" t="s">
        <v>127</v>
      </c>
      <c r="H206" s="137">
        <v>3</v>
      </c>
      <c r="I206" s="137">
        <v>0.2</v>
      </c>
      <c r="J206" s="134" t="s">
        <v>243</v>
      </c>
      <c r="K206" s="134" t="s">
        <v>129</v>
      </c>
      <c r="L206" s="134"/>
      <c r="M206" s="134">
        <v>0</v>
      </c>
      <c r="N206" s="134">
        <v>0</v>
      </c>
      <c r="O206" s="134">
        <v>4</v>
      </c>
      <c r="P206" s="134">
        <v>4</v>
      </c>
      <c r="Q206" s="140">
        <v>0</v>
      </c>
      <c r="R206" s="139">
        <v>5</v>
      </c>
      <c r="S206" s="134">
        <v>230</v>
      </c>
      <c r="T206" s="134">
        <v>5500</v>
      </c>
      <c r="U206" s="134">
        <v>40</v>
      </c>
      <c r="V206" s="140">
        <v>20</v>
      </c>
      <c r="W206" s="15"/>
    </row>
    <row r="207" spans="1:23" ht="17.100000000000001" customHeight="1" x14ac:dyDescent="0.3">
      <c r="A207" s="139">
        <v>10170</v>
      </c>
      <c r="B207" s="135" t="s">
        <v>88</v>
      </c>
      <c r="C207" s="134" t="s">
        <v>302</v>
      </c>
      <c r="D207" s="134">
        <v>3</v>
      </c>
      <c r="E207" s="134" t="b">
        <v>0</v>
      </c>
      <c r="F207" s="134">
        <v>135</v>
      </c>
      <c r="G207" s="134" t="s">
        <v>127</v>
      </c>
      <c r="H207" s="134" t="s">
        <v>112</v>
      </c>
      <c r="I207" s="137">
        <v>0.4</v>
      </c>
      <c r="J207" s="134" t="s">
        <v>136</v>
      </c>
      <c r="K207" s="134" t="s">
        <v>137</v>
      </c>
      <c r="L207" s="134"/>
      <c r="M207" s="134">
        <v>0</v>
      </c>
      <c r="N207" s="134">
        <v>0</v>
      </c>
      <c r="O207" s="134">
        <v>0</v>
      </c>
      <c r="P207" s="134">
        <v>0</v>
      </c>
      <c r="Q207" s="140">
        <v>0</v>
      </c>
      <c r="R207" s="139">
        <v>5</v>
      </c>
      <c r="S207" s="134">
        <v>120</v>
      </c>
      <c r="T207" s="134">
        <v>2000</v>
      </c>
      <c r="U207" s="134">
        <v>15</v>
      </c>
      <c r="V207" s="140">
        <v>5</v>
      </c>
      <c r="W207" s="15"/>
    </row>
    <row r="208" spans="1:23" ht="17.100000000000001" customHeight="1" x14ac:dyDescent="0.3">
      <c r="A208" s="139">
        <v>10171</v>
      </c>
      <c r="B208" s="135" t="s">
        <v>88</v>
      </c>
      <c r="C208" s="134" t="s">
        <v>303</v>
      </c>
      <c r="D208" s="134">
        <v>3</v>
      </c>
      <c r="E208" s="134" t="b">
        <v>0</v>
      </c>
      <c r="F208" s="134">
        <v>150</v>
      </c>
      <c r="G208" s="134" t="s">
        <v>127</v>
      </c>
      <c r="H208" s="134" t="s">
        <v>112</v>
      </c>
      <c r="I208" s="137">
        <v>0.4</v>
      </c>
      <c r="J208" s="134" t="s">
        <v>207</v>
      </c>
      <c r="K208" s="134" t="s">
        <v>137</v>
      </c>
      <c r="L208" s="134"/>
      <c r="M208" s="134">
        <v>0</v>
      </c>
      <c r="N208" s="134">
        <v>0</v>
      </c>
      <c r="O208" s="134">
        <v>0</v>
      </c>
      <c r="P208" s="134">
        <v>1</v>
      </c>
      <c r="Q208" s="140">
        <v>0</v>
      </c>
      <c r="R208" s="139">
        <v>5</v>
      </c>
      <c r="S208" s="134">
        <v>120</v>
      </c>
      <c r="T208" s="134">
        <v>2000</v>
      </c>
      <c r="U208" s="134">
        <v>15</v>
      </c>
      <c r="V208" s="140">
        <v>5</v>
      </c>
      <c r="W208" s="15"/>
    </row>
    <row r="209" spans="1:23" ht="17.100000000000001" customHeight="1" x14ac:dyDescent="0.3">
      <c r="A209" s="139">
        <v>10172</v>
      </c>
      <c r="B209" s="135" t="s">
        <v>88</v>
      </c>
      <c r="C209" s="134" t="s">
        <v>304</v>
      </c>
      <c r="D209" s="134">
        <v>3</v>
      </c>
      <c r="E209" s="134" t="b">
        <v>0</v>
      </c>
      <c r="F209" s="134">
        <v>125</v>
      </c>
      <c r="G209" s="134" t="s">
        <v>127</v>
      </c>
      <c r="H209" s="137">
        <v>2</v>
      </c>
      <c r="I209" s="137">
        <v>0.5</v>
      </c>
      <c r="J209" s="134" t="s">
        <v>150</v>
      </c>
      <c r="K209" s="134" t="s">
        <v>137</v>
      </c>
      <c r="L209" s="134"/>
      <c r="M209" s="134">
        <v>0</v>
      </c>
      <c r="N209" s="134">
        <v>0</v>
      </c>
      <c r="O209" s="134">
        <v>0</v>
      </c>
      <c r="P209" s="134">
        <v>0</v>
      </c>
      <c r="Q209" s="140">
        <v>0</v>
      </c>
      <c r="R209" s="139">
        <v>5</v>
      </c>
      <c r="S209" s="134">
        <v>120</v>
      </c>
      <c r="T209" s="134">
        <v>2000</v>
      </c>
      <c r="U209" s="134">
        <v>15</v>
      </c>
      <c r="V209" s="140">
        <v>5</v>
      </c>
      <c r="W209" s="15"/>
    </row>
    <row r="210" spans="1:23" ht="17.100000000000001" customHeight="1" x14ac:dyDescent="0.3">
      <c r="A210" s="139">
        <v>10173</v>
      </c>
      <c r="B210" s="135" t="s">
        <v>88</v>
      </c>
      <c r="C210" s="134" t="s">
        <v>305</v>
      </c>
      <c r="D210" s="134">
        <v>3</v>
      </c>
      <c r="E210" s="134" t="b">
        <v>0</v>
      </c>
      <c r="F210" s="134">
        <v>110</v>
      </c>
      <c r="G210" s="134" t="s">
        <v>127</v>
      </c>
      <c r="H210" s="137">
        <v>2</v>
      </c>
      <c r="I210" s="137">
        <v>0.5</v>
      </c>
      <c r="J210" s="134" t="s">
        <v>160</v>
      </c>
      <c r="K210" s="134" t="s">
        <v>137</v>
      </c>
      <c r="L210" s="134"/>
      <c r="M210" s="134">
        <v>0</v>
      </c>
      <c r="N210" s="134">
        <v>0</v>
      </c>
      <c r="O210" s="134">
        <v>0</v>
      </c>
      <c r="P210" s="134">
        <v>0</v>
      </c>
      <c r="Q210" s="140">
        <v>0</v>
      </c>
      <c r="R210" s="139">
        <v>5</v>
      </c>
      <c r="S210" s="134">
        <v>80</v>
      </c>
      <c r="T210" s="134">
        <v>1000</v>
      </c>
      <c r="U210" s="134">
        <v>10</v>
      </c>
      <c r="V210" s="140">
        <v>0</v>
      </c>
      <c r="W210" s="15"/>
    </row>
    <row r="211" spans="1:23" ht="17.100000000000001" customHeight="1" x14ac:dyDescent="0.3">
      <c r="A211" s="139">
        <v>10174</v>
      </c>
      <c r="B211" s="135" t="s">
        <v>88</v>
      </c>
      <c r="C211" s="134" t="s">
        <v>306</v>
      </c>
      <c r="D211" s="134">
        <v>3</v>
      </c>
      <c r="E211" s="134" t="b">
        <v>0</v>
      </c>
      <c r="F211" s="134">
        <v>200</v>
      </c>
      <c r="G211" s="134" t="s">
        <v>127</v>
      </c>
      <c r="H211" s="137">
        <v>3</v>
      </c>
      <c r="I211" s="137">
        <v>0.2</v>
      </c>
      <c r="J211" s="134" t="s">
        <v>223</v>
      </c>
      <c r="K211" s="134" t="s">
        <v>129</v>
      </c>
      <c r="L211" s="134"/>
      <c r="M211" s="134">
        <v>0</v>
      </c>
      <c r="N211" s="134">
        <v>0</v>
      </c>
      <c r="O211" s="134">
        <v>5</v>
      </c>
      <c r="P211" s="134">
        <v>6</v>
      </c>
      <c r="Q211" s="140">
        <v>0</v>
      </c>
      <c r="R211" s="139">
        <v>5</v>
      </c>
      <c r="S211" s="134">
        <v>230</v>
      </c>
      <c r="T211" s="134">
        <v>5500</v>
      </c>
      <c r="U211" s="134">
        <v>40</v>
      </c>
      <c r="V211" s="140">
        <v>20</v>
      </c>
      <c r="W211" s="15"/>
    </row>
    <row r="212" spans="1:23" ht="17.100000000000001" customHeight="1" x14ac:dyDescent="0.3">
      <c r="A212" s="139">
        <v>10175</v>
      </c>
      <c r="B212" s="135" t="s">
        <v>88</v>
      </c>
      <c r="C212" s="134" t="s">
        <v>307</v>
      </c>
      <c r="D212" s="134">
        <v>3</v>
      </c>
      <c r="E212" s="134" t="b">
        <v>0</v>
      </c>
      <c r="F212" s="134">
        <v>140</v>
      </c>
      <c r="G212" s="134" t="s">
        <v>127</v>
      </c>
      <c r="H212" s="134" t="s">
        <v>112</v>
      </c>
      <c r="I212" s="137">
        <v>0.4</v>
      </c>
      <c r="J212" s="134" t="s">
        <v>155</v>
      </c>
      <c r="K212" s="134" t="s">
        <v>137</v>
      </c>
      <c r="L212" s="134"/>
      <c r="M212" s="134">
        <v>0</v>
      </c>
      <c r="N212" s="134">
        <v>0</v>
      </c>
      <c r="O212" s="134">
        <v>0</v>
      </c>
      <c r="P212" s="134">
        <v>0</v>
      </c>
      <c r="Q212" s="140">
        <v>0</v>
      </c>
      <c r="R212" s="139">
        <v>5</v>
      </c>
      <c r="S212" s="134">
        <v>120</v>
      </c>
      <c r="T212" s="134">
        <v>2000</v>
      </c>
      <c r="U212" s="134">
        <v>15</v>
      </c>
      <c r="V212" s="140">
        <v>5</v>
      </c>
      <c r="W212" s="15"/>
    </row>
    <row r="213" spans="1:23" ht="17.100000000000001" customHeight="1" x14ac:dyDescent="0.3">
      <c r="A213" s="139">
        <v>10176</v>
      </c>
      <c r="B213" s="135" t="s">
        <v>88</v>
      </c>
      <c r="C213" s="134" t="s">
        <v>308</v>
      </c>
      <c r="D213" s="134">
        <v>3</v>
      </c>
      <c r="E213" s="134" t="b">
        <v>0</v>
      </c>
      <c r="F213" s="134">
        <v>165</v>
      </c>
      <c r="G213" s="134" t="s">
        <v>127</v>
      </c>
      <c r="H213" s="134" t="s">
        <v>112</v>
      </c>
      <c r="I213" s="137">
        <v>0.3</v>
      </c>
      <c r="J213" s="134" t="s">
        <v>252</v>
      </c>
      <c r="K213" s="134" t="s">
        <v>129</v>
      </c>
      <c r="L213" s="134"/>
      <c r="M213" s="134">
        <v>0</v>
      </c>
      <c r="N213" s="134">
        <v>0</v>
      </c>
      <c r="O213" s="134">
        <v>1</v>
      </c>
      <c r="P213" s="134">
        <v>2</v>
      </c>
      <c r="Q213" s="140">
        <v>0</v>
      </c>
      <c r="R213" s="139">
        <v>5</v>
      </c>
      <c r="S213" s="134">
        <v>170</v>
      </c>
      <c r="T213" s="134">
        <v>3500</v>
      </c>
      <c r="U213" s="134">
        <v>25</v>
      </c>
      <c r="V213" s="140">
        <v>10</v>
      </c>
      <c r="W213" s="15"/>
    </row>
    <row r="214" spans="1:23" ht="17.100000000000001" customHeight="1" x14ac:dyDescent="0.3">
      <c r="A214" s="139">
        <v>10177</v>
      </c>
      <c r="B214" s="135" t="s">
        <v>88</v>
      </c>
      <c r="C214" s="134" t="s">
        <v>309</v>
      </c>
      <c r="D214" s="134">
        <v>3</v>
      </c>
      <c r="E214" s="134" t="b">
        <v>0</v>
      </c>
      <c r="F214" s="134">
        <v>145</v>
      </c>
      <c r="G214" s="134" t="s">
        <v>127</v>
      </c>
      <c r="H214" s="134" t="s">
        <v>112</v>
      </c>
      <c r="I214" s="137">
        <v>0.4</v>
      </c>
      <c r="J214" s="134" t="s">
        <v>172</v>
      </c>
      <c r="K214" s="134" t="s">
        <v>137</v>
      </c>
      <c r="L214" s="134"/>
      <c r="M214" s="134">
        <v>0</v>
      </c>
      <c r="N214" s="134">
        <v>0</v>
      </c>
      <c r="O214" s="134">
        <v>0</v>
      </c>
      <c r="P214" s="134">
        <v>0</v>
      </c>
      <c r="Q214" s="140">
        <v>0</v>
      </c>
      <c r="R214" s="139">
        <v>5</v>
      </c>
      <c r="S214" s="134">
        <v>120</v>
      </c>
      <c r="T214" s="134">
        <v>2000</v>
      </c>
      <c r="U214" s="134">
        <v>15</v>
      </c>
      <c r="V214" s="140">
        <v>5</v>
      </c>
      <c r="W214" s="15"/>
    </row>
    <row r="215" spans="1:23" ht="17.100000000000001" customHeight="1" x14ac:dyDescent="0.3">
      <c r="A215" s="139">
        <v>10178</v>
      </c>
      <c r="B215" s="135" t="s">
        <v>88</v>
      </c>
      <c r="C215" s="134" t="s">
        <v>310</v>
      </c>
      <c r="D215" s="134">
        <v>3</v>
      </c>
      <c r="E215" s="134" t="b">
        <v>0</v>
      </c>
      <c r="F215" s="134">
        <v>160</v>
      </c>
      <c r="G215" s="134" t="s">
        <v>127</v>
      </c>
      <c r="H215" s="134" t="s">
        <v>112</v>
      </c>
      <c r="I215" s="137">
        <v>0.3</v>
      </c>
      <c r="J215" s="134" t="s">
        <v>166</v>
      </c>
      <c r="K215" s="134" t="s">
        <v>129</v>
      </c>
      <c r="L215" s="134"/>
      <c r="M215" s="134">
        <v>0</v>
      </c>
      <c r="N215" s="134">
        <v>0</v>
      </c>
      <c r="O215" s="134">
        <v>1</v>
      </c>
      <c r="P215" s="134">
        <v>1</v>
      </c>
      <c r="Q215" s="140">
        <v>0</v>
      </c>
      <c r="R215" s="139">
        <v>5</v>
      </c>
      <c r="S215" s="134">
        <v>170</v>
      </c>
      <c r="T215" s="134">
        <v>3500</v>
      </c>
      <c r="U215" s="134">
        <v>25</v>
      </c>
      <c r="V215" s="140">
        <v>10</v>
      </c>
      <c r="W215" s="15"/>
    </row>
    <row r="216" spans="1:23" ht="17.100000000000001" customHeight="1" x14ac:dyDescent="0.3">
      <c r="A216" s="139">
        <v>10179</v>
      </c>
      <c r="B216" s="135" t="s">
        <v>88</v>
      </c>
      <c r="C216" s="134" t="s">
        <v>311</v>
      </c>
      <c r="D216" s="134">
        <v>3</v>
      </c>
      <c r="E216" s="134" t="b">
        <v>0</v>
      </c>
      <c r="F216" s="134">
        <v>145</v>
      </c>
      <c r="G216" s="134" t="s">
        <v>127</v>
      </c>
      <c r="H216" s="134" t="s">
        <v>112</v>
      </c>
      <c r="I216" s="137">
        <v>0.4</v>
      </c>
      <c r="J216" s="134" t="s">
        <v>172</v>
      </c>
      <c r="K216" s="134" t="s">
        <v>137</v>
      </c>
      <c r="L216" s="134"/>
      <c r="M216" s="134">
        <v>0</v>
      </c>
      <c r="N216" s="134">
        <v>0</v>
      </c>
      <c r="O216" s="134">
        <v>0</v>
      </c>
      <c r="P216" s="134">
        <v>0</v>
      </c>
      <c r="Q216" s="140">
        <v>0</v>
      </c>
      <c r="R216" s="139">
        <v>5</v>
      </c>
      <c r="S216" s="134">
        <v>120</v>
      </c>
      <c r="T216" s="134">
        <v>2000</v>
      </c>
      <c r="U216" s="134">
        <v>15</v>
      </c>
      <c r="V216" s="140">
        <v>5</v>
      </c>
      <c r="W216" s="15"/>
    </row>
    <row r="217" spans="1:23" ht="17.100000000000001" customHeight="1" x14ac:dyDescent="0.3">
      <c r="A217" s="139">
        <v>10180</v>
      </c>
      <c r="B217" s="135" t="s">
        <v>88</v>
      </c>
      <c r="C217" s="134" t="s">
        <v>312</v>
      </c>
      <c r="D217" s="134">
        <v>3</v>
      </c>
      <c r="E217" s="134" t="b">
        <v>0</v>
      </c>
      <c r="F217" s="134">
        <v>170</v>
      </c>
      <c r="G217" s="134" t="s">
        <v>127</v>
      </c>
      <c r="H217" s="137">
        <v>3</v>
      </c>
      <c r="I217" s="137">
        <v>0.3</v>
      </c>
      <c r="J217" s="134" t="s">
        <v>148</v>
      </c>
      <c r="K217" s="134" t="s">
        <v>129</v>
      </c>
      <c r="L217" s="134"/>
      <c r="M217" s="134">
        <v>0</v>
      </c>
      <c r="N217" s="134">
        <v>0</v>
      </c>
      <c r="O217" s="134">
        <v>2</v>
      </c>
      <c r="P217" s="134">
        <v>3</v>
      </c>
      <c r="Q217" s="140">
        <v>0</v>
      </c>
      <c r="R217" s="139">
        <v>5</v>
      </c>
      <c r="S217" s="134">
        <v>170</v>
      </c>
      <c r="T217" s="134">
        <v>3500</v>
      </c>
      <c r="U217" s="134">
        <v>25</v>
      </c>
      <c r="V217" s="140">
        <v>10</v>
      </c>
      <c r="W217" s="15"/>
    </row>
    <row r="218" spans="1:23" ht="17.100000000000001" customHeight="1" x14ac:dyDescent="0.3">
      <c r="A218" s="139">
        <v>10181</v>
      </c>
      <c r="B218" s="135" t="s">
        <v>88</v>
      </c>
      <c r="C218" s="134" t="s">
        <v>313</v>
      </c>
      <c r="D218" s="134">
        <v>3</v>
      </c>
      <c r="E218" s="134" t="b">
        <v>0</v>
      </c>
      <c r="F218" s="134">
        <v>160</v>
      </c>
      <c r="G218" s="134" t="s">
        <v>127</v>
      </c>
      <c r="H218" s="134" t="s">
        <v>112</v>
      </c>
      <c r="I218" s="137">
        <v>0.3</v>
      </c>
      <c r="J218" s="134" t="s">
        <v>166</v>
      </c>
      <c r="K218" s="134" t="s">
        <v>129</v>
      </c>
      <c r="L218" s="134"/>
      <c r="M218" s="134">
        <v>0</v>
      </c>
      <c r="N218" s="134">
        <v>0</v>
      </c>
      <c r="O218" s="134">
        <v>1</v>
      </c>
      <c r="P218" s="134">
        <v>2</v>
      </c>
      <c r="Q218" s="140">
        <v>0</v>
      </c>
      <c r="R218" s="139">
        <v>5</v>
      </c>
      <c r="S218" s="134">
        <v>170</v>
      </c>
      <c r="T218" s="134">
        <v>3500</v>
      </c>
      <c r="U218" s="134">
        <v>25</v>
      </c>
      <c r="V218" s="140">
        <v>10</v>
      </c>
      <c r="W218" s="15"/>
    </row>
    <row r="219" spans="1:23" ht="17.100000000000001" customHeight="1" x14ac:dyDescent="0.3">
      <c r="A219" s="139">
        <v>10182</v>
      </c>
      <c r="B219" s="135" t="s">
        <v>88</v>
      </c>
      <c r="C219" s="134" t="s">
        <v>314</v>
      </c>
      <c r="D219" s="134">
        <v>3</v>
      </c>
      <c r="E219" s="134" t="b">
        <v>0</v>
      </c>
      <c r="F219" s="134">
        <v>90</v>
      </c>
      <c r="G219" s="134" t="s">
        <v>46</v>
      </c>
      <c r="H219" s="137">
        <v>2</v>
      </c>
      <c r="I219" s="137">
        <v>0.6</v>
      </c>
      <c r="J219" s="134" t="s">
        <v>104</v>
      </c>
      <c r="K219" s="134" t="s">
        <v>102</v>
      </c>
      <c r="L219" s="134"/>
      <c r="M219" s="134">
        <v>0</v>
      </c>
      <c r="N219" s="134">
        <v>0</v>
      </c>
      <c r="O219" s="134">
        <v>0</v>
      </c>
      <c r="P219" s="134">
        <v>0</v>
      </c>
      <c r="Q219" s="140">
        <v>0</v>
      </c>
      <c r="R219" s="139">
        <v>5</v>
      </c>
      <c r="S219" s="134">
        <v>80</v>
      </c>
      <c r="T219" s="134">
        <v>1000</v>
      </c>
      <c r="U219" s="134">
        <v>10</v>
      </c>
      <c r="V219" s="140">
        <v>0</v>
      </c>
      <c r="W219" s="15"/>
    </row>
    <row r="220" spans="1:23" ht="17.100000000000001" customHeight="1" x14ac:dyDescent="0.3">
      <c r="A220" s="139">
        <v>10183</v>
      </c>
      <c r="B220" s="135" t="s">
        <v>88</v>
      </c>
      <c r="C220" s="134" t="s">
        <v>315</v>
      </c>
      <c r="D220" s="134">
        <v>3</v>
      </c>
      <c r="E220" s="134" t="b">
        <v>0</v>
      </c>
      <c r="F220" s="134">
        <v>100</v>
      </c>
      <c r="G220" s="134" t="s">
        <v>127</v>
      </c>
      <c r="H220" s="137">
        <v>2</v>
      </c>
      <c r="I220" s="137">
        <v>0.5</v>
      </c>
      <c r="J220" s="134" t="s">
        <v>146</v>
      </c>
      <c r="K220" s="134" t="s">
        <v>137</v>
      </c>
      <c r="L220" s="134"/>
      <c r="M220" s="134">
        <v>0</v>
      </c>
      <c r="N220" s="134">
        <v>0</v>
      </c>
      <c r="O220" s="134">
        <v>0</v>
      </c>
      <c r="P220" s="134">
        <v>0</v>
      </c>
      <c r="Q220" s="140">
        <v>0</v>
      </c>
      <c r="R220" s="139">
        <v>5</v>
      </c>
      <c r="S220" s="134">
        <v>80</v>
      </c>
      <c r="T220" s="134">
        <v>1000</v>
      </c>
      <c r="U220" s="134">
        <v>10</v>
      </c>
      <c r="V220" s="140">
        <v>0</v>
      </c>
      <c r="W220" s="15"/>
    </row>
    <row r="221" spans="1:23" ht="17.100000000000001" customHeight="1" x14ac:dyDescent="0.3">
      <c r="A221" s="139">
        <v>10184</v>
      </c>
      <c r="B221" s="135" t="s">
        <v>88</v>
      </c>
      <c r="C221" s="134" t="s">
        <v>316</v>
      </c>
      <c r="D221" s="134">
        <v>3</v>
      </c>
      <c r="E221" s="134" t="b">
        <v>0</v>
      </c>
      <c r="F221" s="134">
        <v>120</v>
      </c>
      <c r="G221" s="134" t="s">
        <v>127</v>
      </c>
      <c r="H221" s="137">
        <v>2</v>
      </c>
      <c r="I221" s="137">
        <v>0.5</v>
      </c>
      <c r="J221" s="134" t="s">
        <v>178</v>
      </c>
      <c r="K221" s="134" t="s">
        <v>137</v>
      </c>
      <c r="L221" s="134"/>
      <c r="M221" s="134">
        <v>0</v>
      </c>
      <c r="N221" s="134">
        <v>0</v>
      </c>
      <c r="O221" s="134">
        <v>0</v>
      </c>
      <c r="P221" s="134">
        <v>0</v>
      </c>
      <c r="Q221" s="140">
        <v>0</v>
      </c>
      <c r="R221" s="139">
        <v>5</v>
      </c>
      <c r="S221" s="134">
        <v>120</v>
      </c>
      <c r="T221" s="134">
        <v>2000</v>
      </c>
      <c r="U221" s="134">
        <v>15</v>
      </c>
      <c r="V221" s="140">
        <v>5</v>
      </c>
      <c r="W221" s="15"/>
    </row>
    <row r="222" spans="1:23" ht="17.100000000000001" customHeight="1" x14ac:dyDescent="0.3">
      <c r="A222" s="139">
        <v>10185</v>
      </c>
      <c r="B222" s="135" t="s">
        <v>88</v>
      </c>
      <c r="C222" s="134" t="s">
        <v>317</v>
      </c>
      <c r="D222" s="134">
        <v>3</v>
      </c>
      <c r="E222" s="134" t="b">
        <v>0</v>
      </c>
      <c r="F222" s="134">
        <v>110</v>
      </c>
      <c r="G222" s="134" t="s">
        <v>127</v>
      </c>
      <c r="H222" s="137">
        <v>2</v>
      </c>
      <c r="I222" s="137">
        <v>0.5</v>
      </c>
      <c r="J222" s="134" t="s">
        <v>160</v>
      </c>
      <c r="K222" s="134" t="s">
        <v>137</v>
      </c>
      <c r="L222" s="134"/>
      <c r="M222" s="134">
        <v>0</v>
      </c>
      <c r="N222" s="134">
        <v>0</v>
      </c>
      <c r="O222" s="134">
        <v>0</v>
      </c>
      <c r="P222" s="134">
        <v>0</v>
      </c>
      <c r="Q222" s="140">
        <v>0</v>
      </c>
      <c r="R222" s="139">
        <v>5</v>
      </c>
      <c r="S222" s="134">
        <v>80</v>
      </c>
      <c r="T222" s="134">
        <v>1000</v>
      </c>
      <c r="U222" s="134">
        <v>10</v>
      </c>
      <c r="V222" s="140">
        <v>0</v>
      </c>
      <c r="W222" s="15"/>
    </row>
    <row r="223" spans="1:23" ht="17.100000000000001" customHeight="1" x14ac:dyDescent="0.3">
      <c r="A223" s="139">
        <v>10186</v>
      </c>
      <c r="B223" s="135" t="s">
        <v>88</v>
      </c>
      <c r="C223" s="134" t="s">
        <v>318</v>
      </c>
      <c r="D223" s="134">
        <v>3</v>
      </c>
      <c r="E223" s="134" t="b">
        <v>0</v>
      </c>
      <c r="F223" s="134">
        <v>165</v>
      </c>
      <c r="G223" s="134" t="s">
        <v>127</v>
      </c>
      <c r="H223" s="134" t="s">
        <v>112</v>
      </c>
      <c r="I223" s="137">
        <v>0.3</v>
      </c>
      <c r="J223" s="134" t="s">
        <v>252</v>
      </c>
      <c r="K223" s="134" t="s">
        <v>129</v>
      </c>
      <c r="L223" s="134"/>
      <c r="M223" s="134">
        <v>0</v>
      </c>
      <c r="N223" s="134">
        <v>0</v>
      </c>
      <c r="O223" s="134">
        <v>1</v>
      </c>
      <c r="P223" s="134">
        <v>2</v>
      </c>
      <c r="Q223" s="140">
        <v>0</v>
      </c>
      <c r="R223" s="139">
        <v>5</v>
      </c>
      <c r="S223" s="134">
        <v>170</v>
      </c>
      <c r="T223" s="134">
        <v>3500</v>
      </c>
      <c r="U223" s="134">
        <v>25</v>
      </c>
      <c r="V223" s="140">
        <v>10</v>
      </c>
      <c r="W223" s="15"/>
    </row>
    <row r="224" spans="1:23" ht="17.100000000000001" customHeight="1" x14ac:dyDescent="0.3">
      <c r="A224" s="139">
        <v>10187</v>
      </c>
      <c r="B224" s="135" t="s">
        <v>88</v>
      </c>
      <c r="C224" s="134" t="s">
        <v>319</v>
      </c>
      <c r="D224" s="134">
        <v>3</v>
      </c>
      <c r="E224" s="134" t="b">
        <v>0</v>
      </c>
      <c r="F224" s="134">
        <v>180</v>
      </c>
      <c r="G224" s="134" t="s">
        <v>127</v>
      </c>
      <c r="H224" s="137">
        <v>3</v>
      </c>
      <c r="I224" s="137">
        <v>0.2</v>
      </c>
      <c r="J224" s="134" t="s">
        <v>189</v>
      </c>
      <c r="K224" s="134" t="s">
        <v>129</v>
      </c>
      <c r="L224" s="134"/>
      <c r="M224" s="134">
        <v>0</v>
      </c>
      <c r="N224" s="134">
        <v>0</v>
      </c>
      <c r="O224" s="134">
        <v>3</v>
      </c>
      <c r="P224" s="134">
        <v>3</v>
      </c>
      <c r="Q224" s="140">
        <v>0</v>
      </c>
      <c r="R224" s="139">
        <v>5</v>
      </c>
      <c r="S224" s="134">
        <v>230</v>
      </c>
      <c r="T224" s="134">
        <v>5500</v>
      </c>
      <c r="U224" s="134">
        <v>40</v>
      </c>
      <c r="V224" s="140">
        <v>20</v>
      </c>
      <c r="W224" s="15"/>
    </row>
    <row r="225" spans="1:23" ht="17.100000000000001" customHeight="1" x14ac:dyDescent="0.3">
      <c r="A225" s="139">
        <v>10188</v>
      </c>
      <c r="B225" s="135" t="s">
        <v>88</v>
      </c>
      <c r="C225" s="134" t="s">
        <v>320</v>
      </c>
      <c r="D225" s="134">
        <v>3</v>
      </c>
      <c r="E225" s="134" t="b">
        <v>0</v>
      </c>
      <c r="F225" s="134">
        <v>130</v>
      </c>
      <c r="G225" s="134" t="s">
        <v>127</v>
      </c>
      <c r="H225" s="134" t="s">
        <v>112</v>
      </c>
      <c r="I225" s="137">
        <v>0.4</v>
      </c>
      <c r="J225" s="134" t="s">
        <v>139</v>
      </c>
      <c r="K225" s="134" t="s">
        <v>137</v>
      </c>
      <c r="L225" s="134"/>
      <c r="M225" s="134">
        <v>0</v>
      </c>
      <c r="N225" s="134">
        <v>0</v>
      </c>
      <c r="O225" s="134">
        <v>0</v>
      </c>
      <c r="P225" s="134">
        <v>0</v>
      </c>
      <c r="Q225" s="140">
        <v>0</v>
      </c>
      <c r="R225" s="139">
        <v>5</v>
      </c>
      <c r="S225" s="134">
        <v>120</v>
      </c>
      <c r="T225" s="134">
        <v>2000</v>
      </c>
      <c r="U225" s="134">
        <v>15</v>
      </c>
      <c r="V225" s="140">
        <v>5</v>
      </c>
      <c r="W225" s="15"/>
    </row>
    <row r="226" spans="1:23" ht="17.100000000000001" customHeight="1" x14ac:dyDescent="0.3">
      <c r="A226" s="139">
        <v>10189</v>
      </c>
      <c r="B226" s="135" t="s">
        <v>88</v>
      </c>
      <c r="C226" s="134" t="s">
        <v>321</v>
      </c>
      <c r="D226" s="134">
        <v>3</v>
      </c>
      <c r="E226" s="134" t="b">
        <v>0</v>
      </c>
      <c r="F226" s="134">
        <v>90</v>
      </c>
      <c r="G226" s="134" t="s">
        <v>46</v>
      </c>
      <c r="H226" s="137">
        <v>2</v>
      </c>
      <c r="I226" s="137">
        <v>0.6</v>
      </c>
      <c r="J226" s="134" t="s">
        <v>104</v>
      </c>
      <c r="K226" s="134" t="s">
        <v>102</v>
      </c>
      <c r="L226" s="134"/>
      <c r="M226" s="134">
        <v>0</v>
      </c>
      <c r="N226" s="134">
        <v>0</v>
      </c>
      <c r="O226" s="134">
        <v>0</v>
      </c>
      <c r="P226" s="134">
        <v>0</v>
      </c>
      <c r="Q226" s="140">
        <v>0</v>
      </c>
      <c r="R226" s="139">
        <v>5</v>
      </c>
      <c r="S226" s="134">
        <v>80</v>
      </c>
      <c r="T226" s="134">
        <v>1000</v>
      </c>
      <c r="U226" s="134">
        <v>10</v>
      </c>
      <c r="V226" s="140">
        <v>0</v>
      </c>
      <c r="W226" s="15"/>
    </row>
    <row r="227" spans="1:23" ht="17.100000000000001" customHeight="1" x14ac:dyDescent="0.3">
      <c r="A227" s="139">
        <v>10190</v>
      </c>
      <c r="B227" s="135" t="s">
        <v>88</v>
      </c>
      <c r="C227" s="134" t="s">
        <v>322</v>
      </c>
      <c r="D227" s="134">
        <v>3</v>
      </c>
      <c r="E227" s="134" t="b">
        <v>0</v>
      </c>
      <c r="F227" s="134">
        <v>170</v>
      </c>
      <c r="G227" s="134" t="s">
        <v>127</v>
      </c>
      <c r="H227" s="137">
        <v>3</v>
      </c>
      <c r="I227" s="137">
        <v>0.3</v>
      </c>
      <c r="J227" s="134" t="s">
        <v>148</v>
      </c>
      <c r="K227" s="134" t="s">
        <v>129</v>
      </c>
      <c r="L227" s="134"/>
      <c r="M227" s="134">
        <v>0</v>
      </c>
      <c r="N227" s="134">
        <v>0</v>
      </c>
      <c r="O227" s="134">
        <v>2</v>
      </c>
      <c r="P227" s="134">
        <v>2</v>
      </c>
      <c r="Q227" s="140">
        <v>0</v>
      </c>
      <c r="R227" s="139">
        <v>5</v>
      </c>
      <c r="S227" s="134">
        <v>170</v>
      </c>
      <c r="T227" s="134">
        <v>3500</v>
      </c>
      <c r="U227" s="134">
        <v>25</v>
      </c>
      <c r="V227" s="140">
        <v>10</v>
      </c>
      <c r="W227" s="15"/>
    </row>
    <row r="228" spans="1:23" ht="17.100000000000001" customHeight="1" x14ac:dyDescent="0.3">
      <c r="A228" s="139">
        <v>10191</v>
      </c>
      <c r="B228" s="135" t="s">
        <v>88</v>
      </c>
      <c r="C228" s="134" t="s">
        <v>323</v>
      </c>
      <c r="D228" s="134">
        <v>3</v>
      </c>
      <c r="E228" s="134" t="b">
        <v>0</v>
      </c>
      <c r="F228" s="134">
        <v>175</v>
      </c>
      <c r="G228" s="134" t="s">
        <v>127</v>
      </c>
      <c r="H228" s="137">
        <v>3</v>
      </c>
      <c r="I228" s="137">
        <v>0.3</v>
      </c>
      <c r="J228" s="134" t="s">
        <v>131</v>
      </c>
      <c r="K228" s="134" t="s">
        <v>129</v>
      </c>
      <c r="L228" s="134"/>
      <c r="M228" s="134">
        <v>0</v>
      </c>
      <c r="N228" s="134">
        <v>0</v>
      </c>
      <c r="O228" s="134">
        <v>2</v>
      </c>
      <c r="P228" s="134">
        <v>3</v>
      </c>
      <c r="Q228" s="140">
        <v>0</v>
      </c>
      <c r="R228" s="139">
        <v>5</v>
      </c>
      <c r="S228" s="134">
        <v>230</v>
      </c>
      <c r="T228" s="134">
        <v>5500</v>
      </c>
      <c r="U228" s="134">
        <v>40</v>
      </c>
      <c r="V228" s="140">
        <v>20</v>
      </c>
      <c r="W228" s="15"/>
    </row>
    <row r="229" spans="1:23" ht="17.100000000000001" customHeight="1" x14ac:dyDescent="0.3">
      <c r="A229" s="139">
        <v>10192</v>
      </c>
      <c r="B229" s="135" t="s">
        <v>88</v>
      </c>
      <c r="C229" s="134" t="s">
        <v>324</v>
      </c>
      <c r="D229" s="134">
        <v>3</v>
      </c>
      <c r="E229" s="134" t="b">
        <v>0</v>
      </c>
      <c r="F229" s="134">
        <v>135</v>
      </c>
      <c r="G229" s="134" t="s">
        <v>127</v>
      </c>
      <c r="H229" s="134" t="s">
        <v>112</v>
      </c>
      <c r="I229" s="137">
        <v>0.4</v>
      </c>
      <c r="J229" s="134" t="s">
        <v>136</v>
      </c>
      <c r="K229" s="134" t="s">
        <v>137</v>
      </c>
      <c r="L229" s="134"/>
      <c r="M229" s="134">
        <v>0</v>
      </c>
      <c r="N229" s="134">
        <v>0</v>
      </c>
      <c r="O229" s="134">
        <v>0</v>
      </c>
      <c r="P229" s="134">
        <v>0</v>
      </c>
      <c r="Q229" s="140">
        <v>0</v>
      </c>
      <c r="R229" s="139">
        <v>5</v>
      </c>
      <c r="S229" s="134">
        <v>120</v>
      </c>
      <c r="T229" s="134">
        <v>2000</v>
      </c>
      <c r="U229" s="134">
        <v>15</v>
      </c>
      <c r="V229" s="140">
        <v>5</v>
      </c>
      <c r="W229" s="15"/>
    </row>
    <row r="230" spans="1:23" ht="17.100000000000001" customHeight="1" x14ac:dyDescent="0.3">
      <c r="A230" s="139">
        <v>10193</v>
      </c>
      <c r="B230" s="135" t="s">
        <v>88</v>
      </c>
      <c r="C230" s="134" t="s">
        <v>325</v>
      </c>
      <c r="D230" s="134">
        <v>3</v>
      </c>
      <c r="E230" s="134" t="b">
        <v>0</v>
      </c>
      <c r="F230" s="134">
        <v>135</v>
      </c>
      <c r="G230" s="134" t="s">
        <v>127</v>
      </c>
      <c r="H230" s="134" t="s">
        <v>112</v>
      </c>
      <c r="I230" s="137">
        <v>0.4</v>
      </c>
      <c r="J230" s="134" t="s">
        <v>136</v>
      </c>
      <c r="K230" s="134" t="s">
        <v>137</v>
      </c>
      <c r="L230" s="134"/>
      <c r="M230" s="134">
        <v>0</v>
      </c>
      <c r="N230" s="134">
        <v>0</v>
      </c>
      <c r="O230" s="134">
        <v>0</v>
      </c>
      <c r="P230" s="134">
        <v>0</v>
      </c>
      <c r="Q230" s="140">
        <v>0</v>
      </c>
      <c r="R230" s="139">
        <v>5</v>
      </c>
      <c r="S230" s="134">
        <v>120</v>
      </c>
      <c r="T230" s="134">
        <v>2000</v>
      </c>
      <c r="U230" s="134">
        <v>15</v>
      </c>
      <c r="V230" s="140">
        <v>5</v>
      </c>
      <c r="W230" s="15"/>
    </row>
    <row r="231" spans="1:23" ht="17.100000000000001" customHeight="1" x14ac:dyDescent="0.3">
      <c r="A231" s="139">
        <v>10194</v>
      </c>
      <c r="B231" s="135" t="s">
        <v>88</v>
      </c>
      <c r="C231" s="134" t="s">
        <v>326</v>
      </c>
      <c r="D231" s="134">
        <v>3</v>
      </c>
      <c r="E231" s="134" t="b">
        <v>0</v>
      </c>
      <c r="F231" s="134">
        <v>200</v>
      </c>
      <c r="G231" s="134" t="s">
        <v>127</v>
      </c>
      <c r="H231" s="137">
        <v>3</v>
      </c>
      <c r="I231" s="137">
        <v>0.2</v>
      </c>
      <c r="J231" s="134" t="s">
        <v>223</v>
      </c>
      <c r="K231" s="134" t="s">
        <v>129</v>
      </c>
      <c r="L231" s="134"/>
      <c r="M231" s="134">
        <v>0</v>
      </c>
      <c r="N231" s="134">
        <v>0</v>
      </c>
      <c r="O231" s="134">
        <v>5</v>
      </c>
      <c r="P231" s="134">
        <v>6</v>
      </c>
      <c r="Q231" s="140">
        <v>0</v>
      </c>
      <c r="R231" s="139">
        <v>5</v>
      </c>
      <c r="S231" s="134">
        <v>230</v>
      </c>
      <c r="T231" s="134">
        <v>5500</v>
      </c>
      <c r="U231" s="134">
        <v>40</v>
      </c>
      <c r="V231" s="140">
        <v>20</v>
      </c>
      <c r="W231" s="15"/>
    </row>
    <row r="232" spans="1:23" ht="17.100000000000001" customHeight="1" x14ac:dyDescent="0.3">
      <c r="A232" s="139">
        <v>10195</v>
      </c>
      <c r="B232" s="135" t="s">
        <v>88</v>
      </c>
      <c r="C232" s="134" t="s">
        <v>327</v>
      </c>
      <c r="D232" s="134">
        <v>3</v>
      </c>
      <c r="E232" s="134" t="b">
        <v>0</v>
      </c>
      <c r="F232" s="134">
        <v>170</v>
      </c>
      <c r="G232" s="134" t="s">
        <v>127</v>
      </c>
      <c r="H232" s="137">
        <v>3</v>
      </c>
      <c r="I232" s="137">
        <v>0.3</v>
      </c>
      <c r="J232" s="134" t="s">
        <v>148</v>
      </c>
      <c r="K232" s="134" t="s">
        <v>129</v>
      </c>
      <c r="L232" s="134"/>
      <c r="M232" s="134">
        <v>0</v>
      </c>
      <c r="N232" s="134">
        <v>0</v>
      </c>
      <c r="O232" s="134">
        <v>2</v>
      </c>
      <c r="P232" s="134">
        <v>2</v>
      </c>
      <c r="Q232" s="140">
        <v>0</v>
      </c>
      <c r="R232" s="139">
        <v>5</v>
      </c>
      <c r="S232" s="134">
        <v>170</v>
      </c>
      <c r="T232" s="134">
        <v>3500</v>
      </c>
      <c r="U232" s="134">
        <v>25</v>
      </c>
      <c r="V232" s="140">
        <v>10</v>
      </c>
      <c r="W232" s="15"/>
    </row>
    <row r="233" spans="1:23" ht="17.100000000000001" customHeight="1" x14ac:dyDescent="0.3">
      <c r="A233" s="139">
        <v>10196</v>
      </c>
      <c r="B233" s="135" t="s">
        <v>88</v>
      </c>
      <c r="C233" s="134" t="s">
        <v>328</v>
      </c>
      <c r="D233" s="134">
        <v>3</v>
      </c>
      <c r="E233" s="134" t="b">
        <v>0</v>
      </c>
      <c r="F233" s="134">
        <v>80</v>
      </c>
      <c r="G233" s="134" t="s">
        <v>46</v>
      </c>
      <c r="H233" s="137">
        <v>2</v>
      </c>
      <c r="I233" s="137">
        <v>0.6</v>
      </c>
      <c r="J233" s="134" t="s">
        <v>115</v>
      </c>
      <c r="K233" s="134" t="s">
        <v>54</v>
      </c>
      <c r="L233" s="134"/>
      <c r="M233" s="134">
        <v>0</v>
      </c>
      <c r="N233" s="134">
        <v>0</v>
      </c>
      <c r="O233" s="134">
        <v>0</v>
      </c>
      <c r="P233" s="134">
        <v>0</v>
      </c>
      <c r="Q233" s="140">
        <v>0</v>
      </c>
      <c r="R233" s="139">
        <v>5</v>
      </c>
      <c r="S233" s="134">
        <v>80</v>
      </c>
      <c r="T233" s="134">
        <v>1000</v>
      </c>
      <c r="U233" s="134">
        <v>10</v>
      </c>
      <c r="V233" s="140">
        <v>0</v>
      </c>
      <c r="W233" s="15"/>
    </row>
    <row r="234" spans="1:23" ht="17.100000000000001" customHeight="1" x14ac:dyDescent="0.3">
      <c r="A234" s="139">
        <v>10197</v>
      </c>
      <c r="B234" s="135" t="s">
        <v>88</v>
      </c>
      <c r="C234" s="134" t="s">
        <v>329</v>
      </c>
      <c r="D234" s="134">
        <v>3</v>
      </c>
      <c r="E234" s="134" t="b">
        <v>0</v>
      </c>
      <c r="F234" s="134">
        <v>135</v>
      </c>
      <c r="G234" s="134" t="s">
        <v>127</v>
      </c>
      <c r="H234" s="134" t="s">
        <v>112</v>
      </c>
      <c r="I234" s="137">
        <v>0.4</v>
      </c>
      <c r="J234" s="134" t="s">
        <v>136</v>
      </c>
      <c r="K234" s="134" t="s">
        <v>137</v>
      </c>
      <c r="L234" s="134"/>
      <c r="M234" s="134">
        <v>0</v>
      </c>
      <c r="N234" s="134">
        <v>0</v>
      </c>
      <c r="O234" s="134">
        <v>0</v>
      </c>
      <c r="P234" s="134">
        <v>0</v>
      </c>
      <c r="Q234" s="140">
        <v>0</v>
      </c>
      <c r="R234" s="139">
        <v>5</v>
      </c>
      <c r="S234" s="134">
        <v>120</v>
      </c>
      <c r="T234" s="134">
        <v>2000</v>
      </c>
      <c r="U234" s="134">
        <v>15</v>
      </c>
      <c r="V234" s="140">
        <v>5</v>
      </c>
      <c r="W234" s="15"/>
    </row>
    <row r="235" spans="1:23" ht="17.100000000000001" customHeight="1" x14ac:dyDescent="0.3">
      <c r="A235" s="139">
        <v>10198</v>
      </c>
      <c r="B235" s="135" t="s">
        <v>88</v>
      </c>
      <c r="C235" s="134" t="s">
        <v>330</v>
      </c>
      <c r="D235" s="134">
        <v>3</v>
      </c>
      <c r="E235" s="134" t="b">
        <v>0</v>
      </c>
      <c r="F235" s="134">
        <v>125</v>
      </c>
      <c r="G235" s="134" t="s">
        <v>127</v>
      </c>
      <c r="H235" s="137">
        <v>2</v>
      </c>
      <c r="I235" s="137">
        <v>0.5</v>
      </c>
      <c r="J235" s="134" t="s">
        <v>150</v>
      </c>
      <c r="K235" s="134" t="s">
        <v>137</v>
      </c>
      <c r="L235" s="134"/>
      <c r="M235" s="134">
        <v>0</v>
      </c>
      <c r="N235" s="134">
        <v>0</v>
      </c>
      <c r="O235" s="134">
        <v>0</v>
      </c>
      <c r="P235" s="134">
        <v>0</v>
      </c>
      <c r="Q235" s="140">
        <v>0</v>
      </c>
      <c r="R235" s="139">
        <v>5</v>
      </c>
      <c r="S235" s="134">
        <v>120</v>
      </c>
      <c r="T235" s="134">
        <v>2000</v>
      </c>
      <c r="U235" s="134">
        <v>15</v>
      </c>
      <c r="V235" s="140">
        <v>5</v>
      </c>
      <c r="W235" s="15"/>
    </row>
    <row r="236" spans="1:23" ht="17.100000000000001" customHeight="1" x14ac:dyDescent="0.3">
      <c r="A236" s="139">
        <v>10199</v>
      </c>
      <c r="B236" s="135" t="s">
        <v>88</v>
      </c>
      <c r="C236" s="134" t="s">
        <v>331</v>
      </c>
      <c r="D236" s="134">
        <v>3</v>
      </c>
      <c r="E236" s="134" t="b">
        <v>0</v>
      </c>
      <c r="F236" s="134">
        <v>70</v>
      </c>
      <c r="G236" s="134" t="s">
        <v>46</v>
      </c>
      <c r="H236" s="137">
        <v>1</v>
      </c>
      <c r="I236" s="137">
        <v>0.6</v>
      </c>
      <c r="J236" s="134" t="s">
        <v>96</v>
      </c>
      <c r="K236" s="134" t="s">
        <v>54</v>
      </c>
      <c r="L236" s="134"/>
      <c r="M236" s="134">
        <v>0</v>
      </c>
      <c r="N236" s="134">
        <v>0</v>
      </c>
      <c r="O236" s="134">
        <v>0</v>
      </c>
      <c r="P236" s="134">
        <v>0</v>
      </c>
      <c r="Q236" s="140">
        <v>0</v>
      </c>
      <c r="R236" s="139">
        <v>5</v>
      </c>
      <c r="S236" s="134">
        <v>50</v>
      </c>
      <c r="T236" s="134">
        <v>500</v>
      </c>
      <c r="U236" s="134">
        <v>5</v>
      </c>
      <c r="V236" s="140">
        <v>0</v>
      </c>
      <c r="W236" s="15"/>
    </row>
    <row r="237" spans="1:23" ht="17.100000000000001" customHeight="1" x14ac:dyDescent="0.3">
      <c r="A237" s="139">
        <v>10200</v>
      </c>
      <c r="B237" s="135" t="s">
        <v>88</v>
      </c>
      <c r="C237" s="134" t="s">
        <v>332</v>
      </c>
      <c r="D237" s="134">
        <v>3</v>
      </c>
      <c r="E237" s="134" t="b">
        <v>0</v>
      </c>
      <c r="F237" s="134">
        <v>165</v>
      </c>
      <c r="G237" s="134" t="s">
        <v>127</v>
      </c>
      <c r="H237" s="134" t="s">
        <v>112</v>
      </c>
      <c r="I237" s="137">
        <v>0.3</v>
      </c>
      <c r="J237" s="134" t="s">
        <v>252</v>
      </c>
      <c r="K237" s="134" t="s">
        <v>129</v>
      </c>
      <c r="L237" s="134"/>
      <c r="M237" s="134">
        <v>0</v>
      </c>
      <c r="N237" s="134">
        <v>0</v>
      </c>
      <c r="O237" s="134">
        <v>1</v>
      </c>
      <c r="P237" s="134">
        <v>2</v>
      </c>
      <c r="Q237" s="140">
        <v>0</v>
      </c>
      <c r="R237" s="139">
        <v>5</v>
      </c>
      <c r="S237" s="134">
        <v>170</v>
      </c>
      <c r="T237" s="134">
        <v>3500</v>
      </c>
      <c r="U237" s="134">
        <v>25</v>
      </c>
      <c r="V237" s="140">
        <v>10</v>
      </c>
      <c r="W237" s="15"/>
    </row>
    <row r="238" spans="1:23" ht="17.100000000000001" customHeight="1" x14ac:dyDescent="0.3">
      <c r="A238" s="139">
        <v>10201</v>
      </c>
      <c r="B238" s="135" t="s">
        <v>88</v>
      </c>
      <c r="C238" s="134" t="s">
        <v>333</v>
      </c>
      <c r="D238" s="134">
        <v>3</v>
      </c>
      <c r="E238" s="134" t="b">
        <v>0</v>
      </c>
      <c r="F238" s="134">
        <v>150</v>
      </c>
      <c r="G238" s="134" t="s">
        <v>127</v>
      </c>
      <c r="H238" s="134" t="s">
        <v>112</v>
      </c>
      <c r="I238" s="137">
        <v>0.4</v>
      </c>
      <c r="J238" s="134" t="s">
        <v>207</v>
      </c>
      <c r="K238" s="134" t="s">
        <v>137</v>
      </c>
      <c r="L238" s="134"/>
      <c r="M238" s="134">
        <v>0</v>
      </c>
      <c r="N238" s="134">
        <v>0</v>
      </c>
      <c r="O238" s="134">
        <v>0</v>
      </c>
      <c r="P238" s="134">
        <v>1</v>
      </c>
      <c r="Q238" s="140">
        <v>0</v>
      </c>
      <c r="R238" s="139">
        <v>5</v>
      </c>
      <c r="S238" s="134">
        <v>120</v>
      </c>
      <c r="T238" s="134">
        <v>2000</v>
      </c>
      <c r="U238" s="134">
        <v>15</v>
      </c>
      <c r="V238" s="140">
        <v>5</v>
      </c>
      <c r="W238" s="15"/>
    </row>
    <row r="239" spans="1:23" ht="17.100000000000001" customHeight="1" x14ac:dyDescent="0.3">
      <c r="A239" s="139">
        <v>10202</v>
      </c>
      <c r="B239" s="135" t="s">
        <v>88</v>
      </c>
      <c r="C239" s="134" t="s">
        <v>334</v>
      </c>
      <c r="D239" s="134">
        <v>3</v>
      </c>
      <c r="E239" s="134" t="b">
        <v>0</v>
      </c>
      <c r="F239" s="134">
        <v>160</v>
      </c>
      <c r="G239" s="134" t="s">
        <v>127</v>
      </c>
      <c r="H239" s="134" t="s">
        <v>112</v>
      </c>
      <c r="I239" s="137">
        <v>0.4</v>
      </c>
      <c r="J239" s="134" t="s">
        <v>166</v>
      </c>
      <c r="K239" s="134" t="s">
        <v>129</v>
      </c>
      <c r="L239" s="134"/>
      <c r="M239" s="134">
        <v>0</v>
      </c>
      <c r="N239" s="134">
        <v>0</v>
      </c>
      <c r="O239" s="134">
        <v>1</v>
      </c>
      <c r="P239" s="134">
        <v>1</v>
      </c>
      <c r="Q239" s="140">
        <v>0</v>
      </c>
      <c r="R239" s="139">
        <v>5</v>
      </c>
      <c r="S239" s="134">
        <v>170</v>
      </c>
      <c r="T239" s="134">
        <v>3500</v>
      </c>
      <c r="U239" s="134">
        <v>25</v>
      </c>
      <c r="V239" s="140">
        <v>10</v>
      </c>
      <c r="W239" s="15"/>
    </row>
    <row r="240" spans="1:23" ht="17.100000000000001" customHeight="1" x14ac:dyDescent="0.3">
      <c r="A240" s="139">
        <v>10203</v>
      </c>
      <c r="B240" s="135" t="s">
        <v>88</v>
      </c>
      <c r="C240" s="134" t="s">
        <v>335</v>
      </c>
      <c r="D240" s="134">
        <v>3</v>
      </c>
      <c r="E240" s="134" t="b">
        <v>0</v>
      </c>
      <c r="F240" s="134">
        <v>145</v>
      </c>
      <c r="G240" s="134" t="s">
        <v>127</v>
      </c>
      <c r="H240" s="134" t="s">
        <v>112</v>
      </c>
      <c r="I240" s="137">
        <v>0.4</v>
      </c>
      <c r="J240" s="134" t="s">
        <v>172</v>
      </c>
      <c r="K240" s="134" t="s">
        <v>137</v>
      </c>
      <c r="L240" s="134"/>
      <c r="M240" s="134">
        <v>0</v>
      </c>
      <c r="N240" s="134">
        <v>0</v>
      </c>
      <c r="O240" s="134">
        <v>0</v>
      </c>
      <c r="P240" s="134">
        <v>0</v>
      </c>
      <c r="Q240" s="140">
        <v>0</v>
      </c>
      <c r="R240" s="139">
        <v>5</v>
      </c>
      <c r="S240" s="134">
        <v>120</v>
      </c>
      <c r="T240" s="134">
        <v>2000</v>
      </c>
      <c r="U240" s="134">
        <v>15</v>
      </c>
      <c r="V240" s="140">
        <v>5</v>
      </c>
      <c r="W240" s="15"/>
    </row>
    <row r="241" spans="1:23" ht="17.100000000000001" customHeight="1" x14ac:dyDescent="0.3">
      <c r="A241" s="139">
        <v>10204</v>
      </c>
      <c r="B241" s="135" t="s">
        <v>88</v>
      </c>
      <c r="C241" s="134" t="s">
        <v>336</v>
      </c>
      <c r="D241" s="134">
        <v>3</v>
      </c>
      <c r="E241" s="134" t="b">
        <v>0</v>
      </c>
      <c r="F241" s="134">
        <v>150</v>
      </c>
      <c r="G241" s="134" t="s">
        <v>127</v>
      </c>
      <c r="H241" s="134" t="s">
        <v>112</v>
      </c>
      <c r="I241" s="137">
        <v>0.4</v>
      </c>
      <c r="J241" s="134" t="s">
        <v>207</v>
      </c>
      <c r="K241" s="134" t="s">
        <v>137</v>
      </c>
      <c r="L241" s="134"/>
      <c r="M241" s="134">
        <v>0</v>
      </c>
      <c r="N241" s="134">
        <v>0</v>
      </c>
      <c r="O241" s="134">
        <v>0</v>
      </c>
      <c r="P241" s="134">
        <v>1</v>
      </c>
      <c r="Q241" s="140">
        <v>0</v>
      </c>
      <c r="R241" s="139">
        <v>5</v>
      </c>
      <c r="S241" s="134">
        <v>120</v>
      </c>
      <c r="T241" s="134">
        <v>2000</v>
      </c>
      <c r="U241" s="134">
        <v>15</v>
      </c>
      <c r="V241" s="140">
        <v>5</v>
      </c>
      <c r="W241" s="15"/>
    </row>
    <row r="242" spans="1:23" ht="17.100000000000001" customHeight="1" x14ac:dyDescent="0.3">
      <c r="A242" s="139">
        <v>10205</v>
      </c>
      <c r="B242" s="135" t="s">
        <v>88</v>
      </c>
      <c r="C242" s="134" t="s">
        <v>337</v>
      </c>
      <c r="D242" s="134">
        <v>3</v>
      </c>
      <c r="E242" s="134" t="b">
        <v>0</v>
      </c>
      <c r="F242" s="134">
        <v>165</v>
      </c>
      <c r="G242" s="134" t="s">
        <v>127</v>
      </c>
      <c r="H242" s="134" t="s">
        <v>112</v>
      </c>
      <c r="I242" s="137">
        <v>0.3</v>
      </c>
      <c r="J242" s="134" t="s">
        <v>252</v>
      </c>
      <c r="K242" s="134" t="s">
        <v>129</v>
      </c>
      <c r="L242" s="134"/>
      <c r="M242" s="134">
        <v>0</v>
      </c>
      <c r="N242" s="134">
        <v>0</v>
      </c>
      <c r="O242" s="134">
        <v>1</v>
      </c>
      <c r="P242" s="134">
        <v>2</v>
      </c>
      <c r="Q242" s="140">
        <v>0</v>
      </c>
      <c r="R242" s="139">
        <v>5</v>
      </c>
      <c r="S242" s="134">
        <v>170</v>
      </c>
      <c r="T242" s="134">
        <v>3500</v>
      </c>
      <c r="U242" s="134">
        <v>25</v>
      </c>
      <c r="V242" s="140">
        <v>10</v>
      </c>
      <c r="W242" s="15"/>
    </row>
    <row r="243" spans="1:23" ht="17.100000000000001" customHeight="1" x14ac:dyDescent="0.3">
      <c r="A243" s="139">
        <v>10206</v>
      </c>
      <c r="B243" s="135" t="s">
        <v>88</v>
      </c>
      <c r="C243" s="134" t="s">
        <v>338</v>
      </c>
      <c r="D243" s="134">
        <v>3</v>
      </c>
      <c r="E243" s="134" t="b">
        <v>0</v>
      </c>
      <c r="F243" s="134">
        <v>140</v>
      </c>
      <c r="G243" s="134" t="s">
        <v>127</v>
      </c>
      <c r="H243" s="134" t="s">
        <v>112</v>
      </c>
      <c r="I243" s="137">
        <v>0.4</v>
      </c>
      <c r="J243" s="134" t="s">
        <v>155</v>
      </c>
      <c r="K243" s="134" t="s">
        <v>137</v>
      </c>
      <c r="L243" s="134"/>
      <c r="M243" s="134">
        <v>0</v>
      </c>
      <c r="N243" s="134">
        <v>0</v>
      </c>
      <c r="O243" s="134">
        <v>0</v>
      </c>
      <c r="P243" s="134">
        <v>0</v>
      </c>
      <c r="Q243" s="140">
        <v>0</v>
      </c>
      <c r="R243" s="139">
        <v>5</v>
      </c>
      <c r="S243" s="134">
        <v>120</v>
      </c>
      <c r="T243" s="134">
        <v>2000</v>
      </c>
      <c r="U243" s="134">
        <v>15</v>
      </c>
      <c r="V243" s="140">
        <v>5</v>
      </c>
      <c r="W243" s="15"/>
    </row>
    <row r="244" spans="1:23" ht="17.100000000000001" customHeight="1" x14ac:dyDescent="0.3">
      <c r="A244" s="139">
        <v>10207</v>
      </c>
      <c r="B244" s="135" t="s">
        <v>88</v>
      </c>
      <c r="C244" s="134" t="s">
        <v>339</v>
      </c>
      <c r="D244" s="134">
        <v>3</v>
      </c>
      <c r="E244" s="134" t="b">
        <v>0</v>
      </c>
      <c r="F244" s="134">
        <v>115</v>
      </c>
      <c r="G244" s="134" t="s">
        <v>127</v>
      </c>
      <c r="H244" s="137">
        <v>2</v>
      </c>
      <c r="I244" s="137">
        <v>0.5</v>
      </c>
      <c r="J244" s="134" t="s">
        <v>187</v>
      </c>
      <c r="K244" s="134" t="s">
        <v>137</v>
      </c>
      <c r="L244" s="134"/>
      <c r="M244" s="134">
        <v>0</v>
      </c>
      <c r="N244" s="134">
        <v>0</v>
      </c>
      <c r="O244" s="134">
        <v>0</v>
      </c>
      <c r="P244" s="134">
        <v>0</v>
      </c>
      <c r="Q244" s="140">
        <v>0</v>
      </c>
      <c r="R244" s="139">
        <v>5</v>
      </c>
      <c r="S244" s="134">
        <v>80</v>
      </c>
      <c r="T244" s="134">
        <v>1000</v>
      </c>
      <c r="U244" s="134">
        <v>10</v>
      </c>
      <c r="V244" s="140">
        <v>0</v>
      </c>
      <c r="W244" s="15"/>
    </row>
    <row r="245" spans="1:23" ht="17.100000000000001" customHeight="1" x14ac:dyDescent="0.3">
      <c r="A245" s="139">
        <v>10208</v>
      </c>
      <c r="B245" s="135" t="s">
        <v>88</v>
      </c>
      <c r="C245" s="134" t="s">
        <v>340</v>
      </c>
      <c r="D245" s="134">
        <v>3</v>
      </c>
      <c r="E245" s="134" t="b">
        <v>0</v>
      </c>
      <c r="F245" s="134">
        <v>185</v>
      </c>
      <c r="G245" s="134" t="s">
        <v>127</v>
      </c>
      <c r="H245" s="137">
        <v>3</v>
      </c>
      <c r="I245" s="137">
        <v>0.2</v>
      </c>
      <c r="J245" s="134" t="s">
        <v>142</v>
      </c>
      <c r="K245" s="134" t="s">
        <v>129</v>
      </c>
      <c r="L245" s="134"/>
      <c r="M245" s="134">
        <v>0</v>
      </c>
      <c r="N245" s="134">
        <v>0</v>
      </c>
      <c r="O245" s="134">
        <v>3</v>
      </c>
      <c r="P245" s="134">
        <v>4</v>
      </c>
      <c r="Q245" s="140">
        <v>0</v>
      </c>
      <c r="R245" s="139">
        <v>5</v>
      </c>
      <c r="S245" s="134">
        <v>230</v>
      </c>
      <c r="T245" s="134">
        <v>5500</v>
      </c>
      <c r="U245" s="134">
        <v>40</v>
      </c>
      <c r="V245" s="140">
        <v>20</v>
      </c>
      <c r="W245" s="15"/>
    </row>
    <row r="246" spans="1:23" ht="17.100000000000001" customHeight="1" x14ac:dyDescent="0.3">
      <c r="A246" s="139">
        <v>10209</v>
      </c>
      <c r="B246" s="135" t="s">
        <v>88</v>
      </c>
      <c r="C246" s="134" t="s">
        <v>341</v>
      </c>
      <c r="D246" s="134">
        <v>3</v>
      </c>
      <c r="E246" s="134" t="b">
        <v>0</v>
      </c>
      <c r="F246" s="134">
        <v>175</v>
      </c>
      <c r="G246" s="134" t="s">
        <v>127</v>
      </c>
      <c r="H246" s="137">
        <v>3</v>
      </c>
      <c r="I246" s="137">
        <v>0.3</v>
      </c>
      <c r="J246" s="134" t="s">
        <v>131</v>
      </c>
      <c r="K246" s="134" t="s">
        <v>129</v>
      </c>
      <c r="L246" s="134"/>
      <c r="M246" s="134">
        <v>0</v>
      </c>
      <c r="N246" s="134">
        <v>0</v>
      </c>
      <c r="O246" s="134">
        <v>2</v>
      </c>
      <c r="P246" s="134">
        <v>3</v>
      </c>
      <c r="Q246" s="140">
        <v>0</v>
      </c>
      <c r="R246" s="139">
        <v>5</v>
      </c>
      <c r="S246" s="134">
        <v>230</v>
      </c>
      <c r="T246" s="134">
        <v>5500</v>
      </c>
      <c r="U246" s="134">
        <v>40</v>
      </c>
      <c r="V246" s="140">
        <v>20</v>
      </c>
      <c r="W246" s="15"/>
    </row>
    <row r="247" spans="1:23" ht="17.100000000000001" customHeight="1" x14ac:dyDescent="0.3">
      <c r="A247" s="139">
        <v>10210</v>
      </c>
      <c r="B247" s="135" t="s">
        <v>88</v>
      </c>
      <c r="C247" s="134" t="s">
        <v>342</v>
      </c>
      <c r="D247" s="134">
        <v>3</v>
      </c>
      <c r="E247" s="134" t="b">
        <v>0</v>
      </c>
      <c r="F247" s="134">
        <v>120</v>
      </c>
      <c r="G247" s="134" t="s">
        <v>127</v>
      </c>
      <c r="H247" s="137">
        <v>2</v>
      </c>
      <c r="I247" s="137">
        <v>0.5</v>
      </c>
      <c r="J247" s="134" t="s">
        <v>178</v>
      </c>
      <c r="K247" s="134" t="s">
        <v>137</v>
      </c>
      <c r="L247" s="134"/>
      <c r="M247" s="134">
        <v>0</v>
      </c>
      <c r="N247" s="134">
        <v>0</v>
      </c>
      <c r="O247" s="134">
        <v>0</v>
      </c>
      <c r="P247" s="134">
        <v>0</v>
      </c>
      <c r="Q247" s="140">
        <v>0</v>
      </c>
      <c r="R247" s="139">
        <v>5</v>
      </c>
      <c r="S247" s="134">
        <v>120</v>
      </c>
      <c r="T247" s="134">
        <v>2000</v>
      </c>
      <c r="U247" s="134">
        <v>15</v>
      </c>
      <c r="V247" s="140">
        <v>5</v>
      </c>
      <c r="W247" s="15"/>
    </row>
    <row r="248" spans="1:23" ht="17.100000000000001" customHeight="1" x14ac:dyDescent="0.3">
      <c r="A248" s="139">
        <v>10211</v>
      </c>
      <c r="B248" s="135" t="s">
        <v>88</v>
      </c>
      <c r="C248" s="134" t="s">
        <v>343</v>
      </c>
      <c r="D248" s="134">
        <v>3</v>
      </c>
      <c r="E248" s="134" t="b">
        <v>0</v>
      </c>
      <c r="F248" s="134">
        <v>160</v>
      </c>
      <c r="G248" s="134" t="s">
        <v>127</v>
      </c>
      <c r="H248" s="134" t="s">
        <v>112</v>
      </c>
      <c r="I248" s="137">
        <v>0.4</v>
      </c>
      <c r="J248" s="134" t="s">
        <v>166</v>
      </c>
      <c r="K248" s="134" t="s">
        <v>129</v>
      </c>
      <c r="L248" s="134"/>
      <c r="M248" s="134">
        <v>0</v>
      </c>
      <c r="N248" s="134">
        <v>0</v>
      </c>
      <c r="O248" s="134">
        <v>1</v>
      </c>
      <c r="P248" s="134">
        <v>1</v>
      </c>
      <c r="Q248" s="140">
        <v>0</v>
      </c>
      <c r="R248" s="139">
        <v>5</v>
      </c>
      <c r="S248" s="134">
        <v>170</v>
      </c>
      <c r="T248" s="134">
        <v>3500</v>
      </c>
      <c r="U248" s="134">
        <v>25</v>
      </c>
      <c r="V248" s="140">
        <v>10</v>
      </c>
      <c r="W248" s="15"/>
    </row>
    <row r="249" spans="1:23" ht="17.100000000000001" customHeight="1" x14ac:dyDescent="0.3">
      <c r="A249" s="139">
        <v>10212</v>
      </c>
      <c r="B249" s="135" t="s">
        <v>88</v>
      </c>
      <c r="C249" s="134" t="s">
        <v>344</v>
      </c>
      <c r="D249" s="134">
        <v>3</v>
      </c>
      <c r="E249" s="134" t="b">
        <v>0</v>
      </c>
      <c r="F249" s="134">
        <v>200</v>
      </c>
      <c r="G249" s="134" t="s">
        <v>127</v>
      </c>
      <c r="H249" s="137">
        <v>3</v>
      </c>
      <c r="I249" s="137">
        <v>0.2</v>
      </c>
      <c r="J249" s="134" t="s">
        <v>223</v>
      </c>
      <c r="K249" s="134" t="s">
        <v>129</v>
      </c>
      <c r="L249" s="134"/>
      <c r="M249" s="134">
        <v>0</v>
      </c>
      <c r="N249" s="134">
        <v>0</v>
      </c>
      <c r="O249" s="134">
        <v>5</v>
      </c>
      <c r="P249" s="134">
        <v>6</v>
      </c>
      <c r="Q249" s="140">
        <v>0</v>
      </c>
      <c r="R249" s="139">
        <v>5</v>
      </c>
      <c r="S249" s="134">
        <v>230</v>
      </c>
      <c r="T249" s="134">
        <v>5500</v>
      </c>
      <c r="U249" s="134">
        <v>40</v>
      </c>
      <c r="V249" s="140">
        <v>20</v>
      </c>
      <c r="W249" s="15"/>
    </row>
    <row r="250" spans="1:23" ht="17.100000000000001" customHeight="1" x14ac:dyDescent="0.3">
      <c r="A250" s="139">
        <v>10213</v>
      </c>
      <c r="B250" s="135" t="s">
        <v>88</v>
      </c>
      <c r="C250" s="134" t="s">
        <v>345</v>
      </c>
      <c r="D250" s="134">
        <v>3</v>
      </c>
      <c r="E250" s="134" t="b">
        <v>0</v>
      </c>
      <c r="F250" s="134">
        <v>200</v>
      </c>
      <c r="G250" s="134" t="s">
        <v>127</v>
      </c>
      <c r="H250" s="137">
        <v>3</v>
      </c>
      <c r="I250" s="137">
        <v>0.2</v>
      </c>
      <c r="J250" s="134" t="s">
        <v>223</v>
      </c>
      <c r="K250" s="134" t="s">
        <v>129</v>
      </c>
      <c r="L250" s="134"/>
      <c r="M250" s="134">
        <v>0</v>
      </c>
      <c r="N250" s="134">
        <v>0</v>
      </c>
      <c r="O250" s="134">
        <v>5</v>
      </c>
      <c r="P250" s="134">
        <v>5</v>
      </c>
      <c r="Q250" s="140">
        <v>0</v>
      </c>
      <c r="R250" s="139">
        <v>5</v>
      </c>
      <c r="S250" s="134">
        <v>230</v>
      </c>
      <c r="T250" s="134">
        <v>5500</v>
      </c>
      <c r="U250" s="134">
        <v>40</v>
      </c>
      <c r="V250" s="140">
        <v>20</v>
      </c>
      <c r="W250" s="15"/>
    </row>
    <row r="251" spans="1:23" ht="17.100000000000001" customHeight="1" x14ac:dyDescent="0.3">
      <c r="A251" s="139">
        <v>10214</v>
      </c>
      <c r="B251" s="135" t="s">
        <v>88</v>
      </c>
      <c r="C251" s="134" t="s">
        <v>346</v>
      </c>
      <c r="D251" s="134">
        <v>3</v>
      </c>
      <c r="E251" s="134" t="b">
        <v>0</v>
      </c>
      <c r="F251" s="134">
        <v>165</v>
      </c>
      <c r="G251" s="134" t="s">
        <v>127</v>
      </c>
      <c r="H251" s="134" t="s">
        <v>112</v>
      </c>
      <c r="I251" s="137">
        <v>0.3</v>
      </c>
      <c r="J251" s="134" t="s">
        <v>252</v>
      </c>
      <c r="K251" s="134" t="s">
        <v>129</v>
      </c>
      <c r="L251" s="134"/>
      <c r="M251" s="134">
        <v>0</v>
      </c>
      <c r="N251" s="134">
        <v>0</v>
      </c>
      <c r="O251" s="134">
        <v>1</v>
      </c>
      <c r="P251" s="134">
        <v>2</v>
      </c>
      <c r="Q251" s="140">
        <v>0</v>
      </c>
      <c r="R251" s="139">
        <v>5</v>
      </c>
      <c r="S251" s="134">
        <v>170</v>
      </c>
      <c r="T251" s="134">
        <v>3500</v>
      </c>
      <c r="U251" s="134">
        <v>25</v>
      </c>
      <c r="V251" s="140">
        <v>10</v>
      </c>
      <c r="W251" s="15"/>
    </row>
    <row r="252" spans="1:23" ht="17.100000000000001" customHeight="1" x14ac:dyDescent="0.3">
      <c r="A252" s="139">
        <v>10215</v>
      </c>
      <c r="B252" s="135" t="s">
        <v>88</v>
      </c>
      <c r="C252" s="134" t="s">
        <v>347</v>
      </c>
      <c r="D252" s="134">
        <v>3</v>
      </c>
      <c r="E252" s="134" t="b">
        <v>0</v>
      </c>
      <c r="F252" s="134">
        <v>150</v>
      </c>
      <c r="G252" s="134" t="s">
        <v>127</v>
      </c>
      <c r="H252" s="134" t="s">
        <v>112</v>
      </c>
      <c r="I252" s="137">
        <v>0.4</v>
      </c>
      <c r="J252" s="134" t="s">
        <v>134</v>
      </c>
      <c r="K252" s="134" t="s">
        <v>129</v>
      </c>
      <c r="L252" s="134"/>
      <c r="M252" s="134">
        <v>0</v>
      </c>
      <c r="N252" s="134">
        <v>0</v>
      </c>
      <c r="O252" s="134">
        <v>0</v>
      </c>
      <c r="P252" s="134">
        <v>1</v>
      </c>
      <c r="Q252" s="140">
        <v>0</v>
      </c>
      <c r="R252" s="139">
        <v>5</v>
      </c>
      <c r="S252" s="134">
        <v>170</v>
      </c>
      <c r="T252" s="134">
        <v>3500</v>
      </c>
      <c r="U252" s="134">
        <v>25</v>
      </c>
      <c r="V252" s="140">
        <v>10</v>
      </c>
      <c r="W252" s="15"/>
    </row>
    <row r="253" spans="1:23" ht="17.100000000000001" customHeight="1" x14ac:dyDescent="0.3">
      <c r="A253" s="139">
        <v>10216</v>
      </c>
      <c r="B253" s="135" t="s">
        <v>88</v>
      </c>
      <c r="C253" s="134" t="s">
        <v>348</v>
      </c>
      <c r="D253" s="134">
        <v>3</v>
      </c>
      <c r="E253" s="134" t="b">
        <v>0</v>
      </c>
      <c r="F253" s="134">
        <v>125</v>
      </c>
      <c r="G253" s="134" t="s">
        <v>127</v>
      </c>
      <c r="H253" s="137">
        <v>2</v>
      </c>
      <c r="I253" s="137">
        <v>0.5</v>
      </c>
      <c r="J253" s="134" t="s">
        <v>150</v>
      </c>
      <c r="K253" s="134" t="s">
        <v>137</v>
      </c>
      <c r="L253" s="134"/>
      <c r="M253" s="134">
        <v>0</v>
      </c>
      <c r="N253" s="134">
        <v>0</v>
      </c>
      <c r="O253" s="134">
        <v>0</v>
      </c>
      <c r="P253" s="134">
        <v>0</v>
      </c>
      <c r="Q253" s="140">
        <v>0</v>
      </c>
      <c r="R253" s="139">
        <v>5</v>
      </c>
      <c r="S253" s="134">
        <v>120</v>
      </c>
      <c r="T253" s="134">
        <v>2000</v>
      </c>
      <c r="U253" s="134">
        <v>15</v>
      </c>
      <c r="V253" s="140">
        <v>5</v>
      </c>
      <c r="W253" s="15"/>
    </row>
    <row r="254" spans="1:23" ht="17.100000000000001" customHeight="1" x14ac:dyDescent="0.3">
      <c r="A254" s="139">
        <v>10217</v>
      </c>
      <c r="B254" s="135" t="s">
        <v>88</v>
      </c>
      <c r="C254" s="134" t="s">
        <v>349</v>
      </c>
      <c r="D254" s="134">
        <v>3</v>
      </c>
      <c r="E254" s="134" t="b">
        <v>0</v>
      </c>
      <c r="F254" s="134">
        <v>165</v>
      </c>
      <c r="G254" s="134" t="s">
        <v>127</v>
      </c>
      <c r="H254" s="134" t="s">
        <v>112</v>
      </c>
      <c r="I254" s="137">
        <v>0.3</v>
      </c>
      <c r="J254" s="134" t="s">
        <v>252</v>
      </c>
      <c r="K254" s="134" t="s">
        <v>129</v>
      </c>
      <c r="L254" s="134"/>
      <c r="M254" s="134">
        <v>0</v>
      </c>
      <c r="N254" s="134">
        <v>0</v>
      </c>
      <c r="O254" s="134">
        <v>1</v>
      </c>
      <c r="P254" s="134">
        <v>2</v>
      </c>
      <c r="Q254" s="140">
        <v>0</v>
      </c>
      <c r="R254" s="139">
        <v>5</v>
      </c>
      <c r="S254" s="134">
        <v>170</v>
      </c>
      <c r="T254" s="134">
        <v>3500</v>
      </c>
      <c r="U254" s="134">
        <v>25</v>
      </c>
      <c r="V254" s="140">
        <v>10</v>
      </c>
      <c r="W254" s="15"/>
    </row>
    <row r="255" spans="1:23" ht="17.100000000000001" customHeight="1" x14ac:dyDescent="0.3">
      <c r="A255" s="139">
        <v>10218</v>
      </c>
      <c r="B255" s="135" t="s">
        <v>88</v>
      </c>
      <c r="C255" s="134" t="s">
        <v>350</v>
      </c>
      <c r="D255" s="134">
        <v>3</v>
      </c>
      <c r="E255" s="134" t="b">
        <v>0</v>
      </c>
      <c r="F255" s="134">
        <v>195</v>
      </c>
      <c r="G255" s="134" t="s">
        <v>127</v>
      </c>
      <c r="H255" s="137">
        <v>3</v>
      </c>
      <c r="I255" s="137">
        <v>0.2</v>
      </c>
      <c r="J255" s="134" t="s">
        <v>128</v>
      </c>
      <c r="K255" s="134" t="s">
        <v>129</v>
      </c>
      <c r="L255" s="134"/>
      <c r="M255" s="134">
        <v>0</v>
      </c>
      <c r="N255" s="134">
        <v>0</v>
      </c>
      <c r="O255" s="134">
        <v>5</v>
      </c>
      <c r="P255" s="134">
        <v>5</v>
      </c>
      <c r="Q255" s="140">
        <v>0</v>
      </c>
      <c r="R255" s="139">
        <v>5</v>
      </c>
      <c r="S255" s="134">
        <v>230</v>
      </c>
      <c r="T255" s="134">
        <v>5500</v>
      </c>
      <c r="U255" s="134">
        <v>40</v>
      </c>
      <c r="V255" s="140">
        <v>20</v>
      </c>
      <c r="W255" s="15"/>
    </row>
    <row r="256" spans="1:23" ht="17.100000000000001" customHeight="1" x14ac:dyDescent="0.3">
      <c r="A256" s="139">
        <v>10219</v>
      </c>
      <c r="B256" s="135" t="s">
        <v>88</v>
      </c>
      <c r="C256" s="134" t="s">
        <v>351</v>
      </c>
      <c r="D256" s="134">
        <v>3</v>
      </c>
      <c r="E256" s="134" t="b">
        <v>0</v>
      </c>
      <c r="F256" s="134">
        <v>200</v>
      </c>
      <c r="G256" s="134" t="s">
        <v>127</v>
      </c>
      <c r="H256" s="137">
        <v>3</v>
      </c>
      <c r="I256" s="137">
        <v>0.2</v>
      </c>
      <c r="J256" s="134" t="s">
        <v>223</v>
      </c>
      <c r="K256" s="134" t="s">
        <v>129</v>
      </c>
      <c r="L256" s="134"/>
      <c r="M256" s="134">
        <v>0</v>
      </c>
      <c r="N256" s="134">
        <v>0</v>
      </c>
      <c r="O256" s="134">
        <v>5</v>
      </c>
      <c r="P256" s="134">
        <v>6</v>
      </c>
      <c r="Q256" s="140">
        <v>0</v>
      </c>
      <c r="R256" s="139">
        <v>5</v>
      </c>
      <c r="S256" s="134">
        <v>230</v>
      </c>
      <c r="T256" s="134">
        <v>5500</v>
      </c>
      <c r="U256" s="134">
        <v>40</v>
      </c>
      <c r="V256" s="140">
        <v>20</v>
      </c>
      <c r="W256" s="15"/>
    </row>
    <row r="257" spans="1:23" ht="17.100000000000001" customHeight="1" x14ac:dyDescent="0.3">
      <c r="A257" s="139">
        <v>10220</v>
      </c>
      <c r="B257" s="135" t="s">
        <v>88</v>
      </c>
      <c r="C257" s="134" t="s">
        <v>352</v>
      </c>
      <c r="D257" s="134">
        <v>3</v>
      </c>
      <c r="E257" s="134" t="b">
        <v>0</v>
      </c>
      <c r="F257" s="134">
        <v>190</v>
      </c>
      <c r="G257" s="134" t="s">
        <v>127</v>
      </c>
      <c r="H257" s="137">
        <v>3</v>
      </c>
      <c r="I257" s="137">
        <v>0.2</v>
      </c>
      <c r="J257" s="134" t="s">
        <v>243</v>
      </c>
      <c r="K257" s="134" t="s">
        <v>129</v>
      </c>
      <c r="L257" s="134"/>
      <c r="M257" s="134">
        <v>0</v>
      </c>
      <c r="N257" s="134">
        <v>0</v>
      </c>
      <c r="O257" s="134">
        <v>4</v>
      </c>
      <c r="P257" s="134">
        <v>4</v>
      </c>
      <c r="Q257" s="140">
        <v>0</v>
      </c>
      <c r="R257" s="139">
        <v>5</v>
      </c>
      <c r="S257" s="134">
        <v>230</v>
      </c>
      <c r="T257" s="134">
        <v>5500</v>
      </c>
      <c r="U257" s="134">
        <v>40</v>
      </c>
      <c r="V257" s="140">
        <v>20</v>
      </c>
      <c r="W257" s="15"/>
    </row>
    <row r="258" spans="1:23" ht="17.100000000000001" customHeight="1" x14ac:dyDescent="0.3">
      <c r="A258" s="139">
        <v>10221</v>
      </c>
      <c r="B258" s="135" t="s">
        <v>88</v>
      </c>
      <c r="C258" s="134" t="s">
        <v>353</v>
      </c>
      <c r="D258" s="134">
        <v>3</v>
      </c>
      <c r="E258" s="134" t="b">
        <v>0</v>
      </c>
      <c r="F258" s="134">
        <v>180</v>
      </c>
      <c r="G258" s="134" t="s">
        <v>127</v>
      </c>
      <c r="H258" s="137">
        <v>3</v>
      </c>
      <c r="I258" s="137">
        <v>0.3</v>
      </c>
      <c r="J258" s="134" t="s">
        <v>189</v>
      </c>
      <c r="K258" s="134" t="s">
        <v>129</v>
      </c>
      <c r="L258" s="134"/>
      <c r="M258" s="134">
        <v>0</v>
      </c>
      <c r="N258" s="134">
        <v>0</v>
      </c>
      <c r="O258" s="134">
        <v>3</v>
      </c>
      <c r="P258" s="134">
        <v>3</v>
      </c>
      <c r="Q258" s="140">
        <v>0</v>
      </c>
      <c r="R258" s="139">
        <v>5</v>
      </c>
      <c r="S258" s="134">
        <v>230</v>
      </c>
      <c r="T258" s="134">
        <v>5500</v>
      </c>
      <c r="U258" s="134">
        <v>40</v>
      </c>
      <c r="V258" s="140">
        <v>20</v>
      </c>
      <c r="W258" s="15"/>
    </row>
    <row r="259" spans="1:23" ht="17.100000000000001" customHeight="1" x14ac:dyDescent="0.3">
      <c r="A259" s="139">
        <v>10222</v>
      </c>
      <c r="B259" s="135" t="s">
        <v>88</v>
      </c>
      <c r="C259" s="134" t="s">
        <v>354</v>
      </c>
      <c r="D259" s="134">
        <v>3</v>
      </c>
      <c r="E259" s="134" t="b">
        <v>0</v>
      </c>
      <c r="F259" s="134">
        <v>200</v>
      </c>
      <c r="G259" s="134" t="s">
        <v>127</v>
      </c>
      <c r="H259" s="137">
        <v>3</v>
      </c>
      <c r="I259" s="137">
        <v>0.2</v>
      </c>
      <c r="J259" s="134" t="s">
        <v>223</v>
      </c>
      <c r="K259" s="134" t="s">
        <v>129</v>
      </c>
      <c r="L259" s="134"/>
      <c r="M259" s="134">
        <v>0</v>
      </c>
      <c r="N259" s="134">
        <v>0</v>
      </c>
      <c r="O259" s="134">
        <v>5</v>
      </c>
      <c r="P259" s="134">
        <v>6</v>
      </c>
      <c r="Q259" s="140">
        <v>0</v>
      </c>
      <c r="R259" s="139">
        <v>5</v>
      </c>
      <c r="S259" s="134">
        <v>230</v>
      </c>
      <c r="T259" s="134">
        <v>5500</v>
      </c>
      <c r="U259" s="134">
        <v>40</v>
      </c>
      <c r="V259" s="140">
        <v>20</v>
      </c>
      <c r="W259" s="15"/>
    </row>
    <row r="260" spans="1:23" ht="17.100000000000001" customHeight="1" x14ac:dyDescent="0.3">
      <c r="A260" s="139">
        <v>10223</v>
      </c>
      <c r="B260" s="135" t="s">
        <v>88</v>
      </c>
      <c r="C260" s="134" t="s">
        <v>355</v>
      </c>
      <c r="D260" s="134">
        <v>3</v>
      </c>
      <c r="E260" s="134" t="b">
        <v>0</v>
      </c>
      <c r="F260" s="134">
        <v>200</v>
      </c>
      <c r="G260" s="134" t="s">
        <v>127</v>
      </c>
      <c r="H260" s="137">
        <v>3</v>
      </c>
      <c r="I260" s="137">
        <v>0.2</v>
      </c>
      <c r="J260" s="134" t="s">
        <v>223</v>
      </c>
      <c r="K260" s="134" t="s">
        <v>129</v>
      </c>
      <c r="L260" s="134"/>
      <c r="M260" s="134">
        <v>0</v>
      </c>
      <c r="N260" s="134">
        <v>0</v>
      </c>
      <c r="O260" s="134">
        <v>5</v>
      </c>
      <c r="P260" s="134">
        <v>6</v>
      </c>
      <c r="Q260" s="140">
        <v>0</v>
      </c>
      <c r="R260" s="139">
        <v>5</v>
      </c>
      <c r="S260" s="134">
        <v>230</v>
      </c>
      <c r="T260" s="134">
        <v>5500</v>
      </c>
      <c r="U260" s="134">
        <v>40</v>
      </c>
      <c r="V260" s="140">
        <v>20</v>
      </c>
      <c r="W260" s="15"/>
    </row>
    <row r="261" spans="1:23" ht="17.100000000000001" customHeight="1" x14ac:dyDescent="0.3">
      <c r="A261" s="139">
        <v>10224</v>
      </c>
      <c r="B261" s="135" t="s">
        <v>88</v>
      </c>
      <c r="C261" s="134" t="s">
        <v>356</v>
      </c>
      <c r="D261" s="134">
        <v>3</v>
      </c>
      <c r="E261" s="134" t="b">
        <v>0</v>
      </c>
      <c r="F261" s="134">
        <v>165</v>
      </c>
      <c r="G261" s="134" t="s">
        <v>127</v>
      </c>
      <c r="H261" s="134" t="s">
        <v>112</v>
      </c>
      <c r="I261" s="137">
        <v>0.3</v>
      </c>
      <c r="J261" s="134" t="s">
        <v>252</v>
      </c>
      <c r="K261" s="134" t="s">
        <v>129</v>
      </c>
      <c r="L261" s="134"/>
      <c r="M261" s="134">
        <v>0</v>
      </c>
      <c r="N261" s="134">
        <v>0</v>
      </c>
      <c r="O261" s="134">
        <v>1</v>
      </c>
      <c r="P261" s="134">
        <v>2</v>
      </c>
      <c r="Q261" s="140">
        <v>0</v>
      </c>
      <c r="R261" s="139">
        <v>5</v>
      </c>
      <c r="S261" s="134">
        <v>170</v>
      </c>
      <c r="T261" s="134">
        <v>3500</v>
      </c>
      <c r="U261" s="134">
        <v>25</v>
      </c>
      <c r="V261" s="140">
        <v>10</v>
      </c>
      <c r="W261" s="15"/>
    </row>
    <row r="262" spans="1:23" ht="17.100000000000001" customHeight="1" x14ac:dyDescent="0.3">
      <c r="A262" s="139">
        <v>10225</v>
      </c>
      <c r="B262" s="135" t="s">
        <v>88</v>
      </c>
      <c r="C262" s="134" t="s">
        <v>357</v>
      </c>
      <c r="D262" s="134">
        <v>3</v>
      </c>
      <c r="E262" s="134" t="b">
        <v>0</v>
      </c>
      <c r="F262" s="134">
        <v>195</v>
      </c>
      <c r="G262" s="134" t="s">
        <v>127</v>
      </c>
      <c r="H262" s="137">
        <v>3</v>
      </c>
      <c r="I262" s="137">
        <v>0.2</v>
      </c>
      <c r="J262" s="134" t="s">
        <v>128</v>
      </c>
      <c r="K262" s="134" t="s">
        <v>129</v>
      </c>
      <c r="L262" s="134"/>
      <c r="M262" s="134">
        <v>0</v>
      </c>
      <c r="N262" s="134">
        <v>0</v>
      </c>
      <c r="O262" s="134">
        <v>5</v>
      </c>
      <c r="P262" s="134">
        <v>5</v>
      </c>
      <c r="Q262" s="140">
        <v>0</v>
      </c>
      <c r="R262" s="139">
        <v>5</v>
      </c>
      <c r="S262" s="134">
        <v>230</v>
      </c>
      <c r="T262" s="134">
        <v>5500</v>
      </c>
      <c r="U262" s="134">
        <v>40</v>
      </c>
      <c r="V262" s="140">
        <v>20</v>
      </c>
      <c r="W262" s="15"/>
    </row>
    <row r="263" spans="1:23" ht="17.100000000000001" customHeight="1" x14ac:dyDescent="0.3">
      <c r="A263" s="139">
        <v>10226</v>
      </c>
      <c r="B263" s="135" t="s">
        <v>88</v>
      </c>
      <c r="C263" s="134" t="s">
        <v>358</v>
      </c>
      <c r="D263" s="134">
        <v>3</v>
      </c>
      <c r="E263" s="134" t="b">
        <v>0</v>
      </c>
      <c r="F263" s="134">
        <v>190</v>
      </c>
      <c r="G263" s="134" t="s">
        <v>127</v>
      </c>
      <c r="H263" s="137">
        <v>3</v>
      </c>
      <c r="I263" s="137">
        <v>0.2</v>
      </c>
      <c r="J263" s="134" t="s">
        <v>243</v>
      </c>
      <c r="K263" s="134" t="s">
        <v>129</v>
      </c>
      <c r="L263" s="134"/>
      <c r="M263" s="134">
        <v>0</v>
      </c>
      <c r="N263" s="134">
        <v>0</v>
      </c>
      <c r="O263" s="134">
        <v>4</v>
      </c>
      <c r="P263" s="134">
        <v>4</v>
      </c>
      <c r="Q263" s="140">
        <v>0</v>
      </c>
      <c r="R263" s="139">
        <v>5</v>
      </c>
      <c r="S263" s="134">
        <v>230</v>
      </c>
      <c r="T263" s="134">
        <v>5500</v>
      </c>
      <c r="U263" s="134">
        <v>40</v>
      </c>
      <c r="V263" s="140">
        <v>20</v>
      </c>
      <c r="W263" s="15"/>
    </row>
    <row r="264" spans="1:23" ht="17.100000000000001" customHeight="1" x14ac:dyDescent="0.3">
      <c r="A264" s="139">
        <v>10227</v>
      </c>
      <c r="B264" s="135" t="s">
        <v>88</v>
      </c>
      <c r="C264" s="134" t="s">
        <v>359</v>
      </c>
      <c r="D264" s="134">
        <v>3</v>
      </c>
      <c r="E264" s="134" t="b">
        <v>0</v>
      </c>
      <c r="F264" s="134">
        <v>185</v>
      </c>
      <c r="G264" s="134" t="s">
        <v>127</v>
      </c>
      <c r="H264" s="137">
        <v>3</v>
      </c>
      <c r="I264" s="137">
        <v>0.2</v>
      </c>
      <c r="J264" s="134" t="s">
        <v>142</v>
      </c>
      <c r="K264" s="134" t="s">
        <v>129</v>
      </c>
      <c r="L264" s="134"/>
      <c r="M264" s="134">
        <v>0</v>
      </c>
      <c r="N264" s="134">
        <v>0</v>
      </c>
      <c r="O264" s="134">
        <v>3</v>
      </c>
      <c r="P264" s="134">
        <v>4</v>
      </c>
      <c r="Q264" s="140">
        <v>0</v>
      </c>
      <c r="R264" s="139">
        <v>5</v>
      </c>
      <c r="S264" s="134">
        <v>230</v>
      </c>
      <c r="T264" s="134">
        <v>5500</v>
      </c>
      <c r="U264" s="134">
        <v>40</v>
      </c>
      <c r="V264" s="140">
        <v>20</v>
      </c>
      <c r="W264" s="15"/>
    </row>
    <row r="265" spans="1:23" ht="17.100000000000001" customHeight="1" x14ac:dyDescent="0.3">
      <c r="A265" s="139">
        <v>10228</v>
      </c>
      <c r="B265" s="135" t="s">
        <v>88</v>
      </c>
      <c r="C265" s="134" t="s">
        <v>360</v>
      </c>
      <c r="D265" s="134">
        <v>3</v>
      </c>
      <c r="E265" s="134" t="b">
        <v>0</v>
      </c>
      <c r="F265" s="134">
        <v>190</v>
      </c>
      <c r="G265" s="134" t="s">
        <v>127</v>
      </c>
      <c r="H265" s="137">
        <v>3</v>
      </c>
      <c r="I265" s="137">
        <v>0.2</v>
      </c>
      <c r="J265" s="134" t="s">
        <v>243</v>
      </c>
      <c r="K265" s="134" t="s">
        <v>129</v>
      </c>
      <c r="L265" s="134"/>
      <c r="M265" s="134">
        <v>0</v>
      </c>
      <c r="N265" s="134">
        <v>0</v>
      </c>
      <c r="O265" s="134">
        <v>4</v>
      </c>
      <c r="P265" s="134">
        <v>4</v>
      </c>
      <c r="Q265" s="140">
        <v>0</v>
      </c>
      <c r="R265" s="139">
        <v>5</v>
      </c>
      <c r="S265" s="134">
        <v>230</v>
      </c>
      <c r="T265" s="134">
        <v>5500</v>
      </c>
      <c r="U265" s="134">
        <v>40</v>
      </c>
      <c r="V265" s="140">
        <v>20</v>
      </c>
      <c r="W265" s="15"/>
    </row>
    <row r="266" spans="1:23" ht="17.100000000000001" customHeight="1" x14ac:dyDescent="0.3">
      <c r="A266" s="139">
        <v>10229</v>
      </c>
      <c r="B266" s="135" t="s">
        <v>88</v>
      </c>
      <c r="C266" s="134" t="s">
        <v>361</v>
      </c>
      <c r="D266" s="134">
        <v>3</v>
      </c>
      <c r="E266" s="134" t="b">
        <v>0</v>
      </c>
      <c r="F266" s="134">
        <v>200</v>
      </c>
      <c r="G266" s="134" t="s">
        <v>127</v>
      </c>
      <c r="H266" s="137">
        <v>3</v>
      </c>
      <c r="I266" s="137">
        <v>0.2</v>
      </c>
      <c r="J266" s="134" t="s">
        <v>223</v>
      </c>
      <c r="K266" s="134" t="s">
        <v>129</v>
      </c>
      <c r="L266" s="134"/>
      <c r="M266" s="134">
        <v>0</v>
      </c>
      <c r="N266" s="134">
        <v>0</v>
      </c>
      <c r="O266" s="134">
        <v>5</v>
      </c>
      <c r="P266" s="134">
        <v>6</v>
      </c>
      <c r="Q266" s="140">
        <v>0</v>
      </c>
      <c r="R266" s="139">
        <v>5</v>
      </c>
      <c r="S266" s="134">
        <v>230</v>
      </c>
      <c r="T266" s="134">
        <v>5500</v>
      </c>
      <c r="U266" s="134">
        <v>40</v>
      </c>
      <c r="V266" s="140">
        <v>20</v>
      </c>
      <c r="W266" s="15"/>
    </row>
    <row r="267" spans="1:23" ht="17.100000000000001" customHeight="1" x14ac:dyDescent="0.3">
      <c r="A267" s="139">
        <v>10230</v>
      </c>
      <c r="B267" s="135" t="s">
        <v>88</v>
      </c>
      <c r="C267" s="134" t="s">
        <v>362</v>
      </c>
      <c r="D267" s="134">
        <v>3</v>
      </c>
      <c r="E267" s="134" t="b">
        <v>0</v>
      </c>
      <c r="F267" s="134">
        <v>185</v>
      </c>
      <c r="G267" s="134" t="s">
        <v>127</v>
      </c>
      <c r="H267" s="137">
        <v>3</v>
      </c>
      <c r="I267" s="137">
        <v>0.2</v>
      </c>
      <c r="J267" s="134" t="s">
        <v>142</v>
      </c>
      <c r="K267" s="134" t="s">
        <v>129</v>
      </c>
      <c r="L267" s="134"/>
      <c r="M267" s="134">
        <v>0</v>
      </c>
      <c r="N267" s="134">
        <v>0</v>
      </c>
      <c r="O267" s="134">
        <v>3</v>
      </c>
      <c r="P267" s="134">
        <v>4</v>
      </c>
      <c r="Q267" s="140">
        <v>0</v>
      </c>
      <c r="R267" s="139">
        <v>5</v>
      </c>
      <c r="S267" s="134">
        <v>230</v>
      </c>
      <c r="T267" s="134">
        <v>5500</v>
      </c>
      <c r="U267" s="134">
        <v>40</v>
      </c>
      <c r="V267" s="140">
        <v>20</v>
      </c>
      <c r="W267" s="15"/>
    </row>
    <row r="268" spans="1:23" ht="17.100000000000001" customHeight="1" x14ac:dyDescent="0.3">
      <c r="A268" s="139">
        <v>10231</v>
      </c>
      <c r="B268" s="135" t="s">
        <v>88</v>
      </c>
      <c r="C268" s="134" t="s">
        <v>363</v>
      </c>
      <c r="D268" s="134">
        <v>3</v>
      </c>
      <c r="E268" s="134" t="b">
        <v>0</v>
      </c>
      <c r="F268" s="134">
        <v>200</v>
      </c>
      <c r="G268" s="134" t="s">
        <v>127</v>
      </c>
      <c r="H268" s="137">
        <v>3</v>
      </c>
      <c r="I268" s="137">
        <v>0.2</v>
      </c>
      <c r="J268" s="134" t="s">
        <v>223</v>
      </c>
      <c r="K268" s="134" t="s">
        <v>129</v>
      </c>
      <c r="L268" s="134"/>
      <c r="M268" s="134">
        <v>0</v>
      </c>
      <c r="N268" s="134">
        <v>0</v>
      </c>
      <c r="O268" s="134">
        <v>5</v>
      </c>
      <c r="P268" s="134">
        <v>6</v>
      </c>
      <c r="Q268" s="140">
        <v>0</v>
      </c>
      <c r="R268" s="139">
        <v>5</v>
      </c>
      <c r="S268" s="134">
        <v>230</v>
      </c>
      <c r="T268" s="134">
        <v>5500</v>
      </c>
      <c r="U268" s="134">
        <v>40</v>
      </c>
      <c r="V268" s="140">
        <v>20</v>
      </c>
      <c r="W268" s="15"/>
    </row>
    <row r="269" spans="1:23" ht="17.100000000000001" customHeight="1" x14ac:dyDescent="0.3">
      <c r="A269" s="139">
        <v>10232</v>
      </c>
      <c r="B269" s="135" t="s">
        <v>88</v>
      </c>
      <c r="C269" s="134" t="s">
        <v>364</v>
      </c>
      <c r="D269" s="134">
        <v>3</v>
      </c>
      <c r="E269" s="134" t="b">
        <v>0</v>
      </c>
      <c r="F269" s="134">
        <v>165</v>
      </c>
      <c r="G269" s="134" t="s">
        <v>127</v>
      </c>
      <c r="H269" s="134" t="s">
        <v>112</v>
      </c>
      <c r="I269" s="137">
        <v>0.3</v>
      </c>
      <c r="J269" s="134" t="s">
        <v>252</v>
      </c>
      <c r="K269" s="134" t="s">
        <v>129</v>
      </c>
      <c r="L269" s="134"/>
      <c r="M269" s="134">
        <v>0</v>
      </c>
      <c r="N269" s="134">
        <v>0</v>
      </c>
      <c r="O269" s="134">
        <v>1</v>
      </c>
      <c r="P269" s="134">
        <v>2</v>
      </c>
      <c r="Q269" s="140">
        <v>0</v>
      </c>
      <c r="R269" s="139">
        <v>5</v>
      </c>
      <c r="S269" s="134">
        <v>170</v>
      </c>
      <c r="T269" s="134">
        <v>3500</v>
      </c>
      <c r="U269" s="134">
        <v>25</v>
      </c>
      <c r="V269" s="140">
        <v>10</v>
      </c>
      <c r="W269" s="15"/>
    </row>
    <row r="270" spans="1:23" ht="17.100000000000001" customHeight="1" x14ac:dyDescent="0.3">
      <c r="A270" s="139">
        <v>10233</v>
      </c>
      <c r="B270" s="135" t="s">
        <v>88</v>
      </c>
      <c r="C270" s="134" t="s">
        <v>365</v>
      </c>
      <c r="D270" s="134">
        <v>3</v>
      </c>
      <c r="E270" s="134" t="b">
        <v>0</v>
      </c>
      <c r="F270" s="134">
        <v>200</v>
      </c>
      <c r="G270" s="134" t="s">
        <v>127</v>
      </c>
      <c r="H270" s="137">
        <v>3</v>
      </c>
      <c r="I270" s="137">
        <v>0.2</v>
      </c>
      <c r="J270" s="134" t="s">
        <v>223</v>
      </c>
      <c r="K270" s="134" t="s">
        <v>129</v>
      </c>
      <c r="L270" s="134"/>
      <c r="M270" s="134">
        <v>0</v>
      </c>
      <c r="N270" s="134">
        <v>0</v>
      </c>
      <c r="O270" s="134">
        <v>5</v>
      </c>
      <c r="P270" s="134">
        <v>6</v>
      </c>
      <c r="Q270" s="140">
        <v>0</v>
      </c>
      <c r="R270" s="139">
        <v>5</v>
      </c>
      <c r="S270" s="134">
        <v>230</v>
      </c>
      <c r="T270" s="134">
        <v>5500</v>
      </c>
      <c r="U270" s="134">
        <v>40</v>
      </c>
      <c r="V270" s="140">
        <v>20</v>
      </c>
      <c r="W270" s="15"/>
    </row>
    <row r="271" spans="1:23" ht="17.100000000000001" customHeight="1" x14ac:dyDescent="0.3">
      <c r="A271" s="139">
        <v>10234</v>
      </c>
      <c r="B271" s="135" t="s">
        <v>88</v>
      </c>
      <c r="C271" s="134" t="s">
        <v>366</v>
      </c>
      <c r="D271" s="134">
        <v>3</v>
      </c>
      <c r="E271" s="134" t="b">
        <v>0</v>
      </c>
      <c r="F271" s="134">
        <v>180</v>
      </c>
      <c r="G271" s="134" t="s">
        <v>127</v>
      </c>
      <c r="H271" s="137">
        <v>3</v>
      </c>
      <c r="I271" s="137">
        <v>0.3</v>
      </c>
      <c r="J271" s="134" t="s">
        <v>189</v>
      </c>
      <c r="K271" s="134" t="s">
        <v>129</v>
      </c>
      <c r="L271" s="134"/>
      <c r="M271" s="134">
        <v>0</v>
      </c>
      <c r="N271" s="134">
        <v>0</v>
      </c>
      <c r="O271" s="134">
        <v>2</v>
      </c>
      <c r="P271" s="134">
        <v>3</v>
      </c>
      <c r="Q271" s="140">
        <v>0</v>
      </c>
      <c r="R271" s="139">
        <v>5</v>
      </c>
      <c r="S271" s="134">
        <v>230</v>
      </c>
      <c r="T271" s="134">
        <v>5500</v>
      </c>
      <c r="U271" s="134">
        <v>40</v>
      </c>
      <c r="V271" s="140">
        <v>20</v>
      </c>
      <c r="W271" s="15"/>
    </row>
    <row r="272" spans="1:23" ht="17.100000000000001" customHeight="1" x14ac:dyDescent="0.3">
      <c r="A272" s="139">
        <v>10235</v>
      </c>
      <c r="B272" s="135" t="s">
        <v>88</v>
      </c>
      <c r="C272" s="134" t="s">
        <v>367</v>
      </c>
      <c r="D272" s="134">
        <v>3</v>
      </c>
      <c r="E272" s="134" t="b">
        <v>0</v>
      </c>
      <c r="F272" s="134">
        <v>165</v>
      </c>
      <c r="G272" s="134" t="s">
        <v>127</v>
      </c>
      <c r="H272" s="134" t="s">
        <v>112</v>
      </c>
      <c r="I272" s="137">
        <v>0.3</v>
      </c>
      <c r="J272" s="134" t="s">
        <v>252</v>
      </c>
      <c r="K272" s="134" t="s">
        <v>129</v>
      </c>
      <c r="L272" s="134"/>
      <c r="M272" s="134">
        <v>0</v>
      </c>
      <c r="N272" s="134">
        <v>0</v>
      </c>
      <c r="O272" s="134">
        <v>1</v>
      </c>
      <c r="P272" s="134">
        <v>2</v>
      </c>
      <c r="Q272" s="140">
        <v>0</v>
      </c>
      <c r="R272" s="139">
        <v>5</v>
      </c>
      <c r="S272" s="134">
        <v>170</v>
      </c>
      <c r="T272" s="134">
        <v>3500</v>
      </c>
      <c r="U272" s="134">
        <v>25</v>
      </c>
      <c r="V272" s="140">
        <v>10</v>
      </c>
      <c r="W272" s="15"/>
    </row>
    <row r="273" spans="1:23" ht="17.100000000000001" customHeight="1" x14ac:dyDescent="0.3">
      <c r="A273" s="139">
        <v>10236</v>
      </c>
      <c r="B273" s="135" t="s">
        <v>88</v>
      </c>
      <c r="C273" s="134" t="s">
        <v>368</v>
      </c>
      <c r="D273" s="134">
        <v>3</v>
      </c>
      <c r="E273" s="134" t="b">
        <v>0</v>
      </c>
      <c r="F273" s="134">
        <v>150</v>
      </c>
      <c r="G273" s="134" t="s">
        <v>127</v>
      </c>
      <c r="H273" s="134" t="s">
        <v>112</v>
      </c>
      <c r="I273" s="137">
        <v>0.4</v>
      </c>
      <c r="J273" s="134" t="s">
        <v>207</v>
      </c>
      <c r="K273" s="134" t="s">
        <v>137</v>
      </c>
      <c r="L273" s="134"/>
      <c r="M273" s="134">
        <v>0</v>
      </c>
      <c r="N273" s="134">
        <v>0</v>
      </c>
      <c r="O273" s="134">
        <v>0</v>
      </c>
      <c r="P273" s="134">
        <v>1</v>
      </c>
      <c r="Q273" s="140">
        <v>0</v>
      </c>
      <c r="R273" s="139">
        <v>5</v>
      </c>
      <c r="S273" s="134">
        <v>120</v>
      </c>
      <c r="T273" s="134">
        <v>2000</v>
      </c>
      <c r="U273" s="134">
        <v>15</v>
      </c>
      <c r="V273" s="140">
        <v>5</v>
      </c>
      <c r="W273" s="15"/>
    </row>
    <row r="274" spans="1:23" ht="17.100000000000001" customHeight="1" x14ac:dyDescent="0.3">
      <c r="A274" s="139">
        <v>10237</v>
      </c>
      <c r="B274" s="135" t="s">
        <v>88</v>
      </c>
      <c r="C274" s="134" t="s">
        <v>369</v>
      </c>
      <c r="D274" s="134">
        <v>3</v>
      </c>
      <c r="E274" s="134" t="b">
        <v>0</v>
      </c>
      <c r="F274" s="134">
        <v>150</v>
      </c>
      <c r="G274" s="134" t="s">
        <v>127</v>
      </c>
      <c r="H274" s="134" t="s">
        <v>112</v>
      </c>
      <c r="I274" s="137">
        <v>0.4</v>
      </c>
      <c r="J274" s="134" t="s">
        <v>134</v>
      </c>
      <c r="K274" s="134" t="s">
        <v>129</v>
      </c>
      <c r="L274" s="134"/>
      <c r="M274" s="134">
        <v>0</v>
      </c>
      <c r="N274" s="134">
        <v>0</v>
      </c>
      <c r="O274" s="134">
        <v>0</v>
      </c>
      <c r="P274" s="134">
        <v>1</v>
      </c>
      <c r="Q274" s="140">
        <v>0</v>
      </c>
      <c r="R274" s="139">
        <v>5</v>
      </c>
      <c r="S274" s="134">
        <v>170</v>
      </c>
      <c r="T274" s="134">
        <v>3500</v>
      </c>
      <c r="U274" s="134">
        <v>25</v>
      </c>
      <c r="V274" s="140">
        <v>10</v>
      </c>
      <c r="W274" s="15"/>
    </row>
    <row r="275" spans="1:23" ht="17.100000000000001" customHeight="1" x14ac:dyDescent="0.3">
      <c r="A275" s="139">
        <v>10238</v>
      </c>
      <c r="B275" s="135" t="s">
        <v>88</v>
      </c>
      <c r="C275" s="134" t="s">
        <v>370</v>
      </c>
      <c r="D275" s="134">
        <v>3</v>
      </c>
      <c r="E275" s="134" t="b">
        <v>0</v>
      </c>
      <c r="F275" s="134">
        <v>185</v>
      </c>
      <c r="G275" s="134" t="s">
        <v>127</v>
      </c>
      <c r="H275" s="137">
        <v>3</v>
      </c>
      <c r="I275" s="137">
        <v>0.2</v>
      </c>
      <c r="J275" s="134" t="s">
        <v>142</v>
      </c>
      <c r="K275" s="134" t="s">
        <v>129</v>
      </c>
      <c r="L275" s="134"/>
      <c r="M275" s="134">
        <v>0</v>
      </c>
      <c r="N275" s="134">
        <v>0</v>
      </c>
      <c r="O275" s="134">
        <v>3</v>
      </c>
      <c r="P275" s="134">
        <v>4</v>
      </c>
      <c r="Q275" s="140">
        <v>0</v>
      </c>
      <c r="R275" s="139">
        <v>5</v>
      </c>
      <c r="S275" s="134">
        <v>230</v>
      </c>
      <c r="T275" s="134">
        <v>5500</v>
      </c>
      <c r="U275" s="134">
        <v>40</v>
      </c>
      <c r="V275" s="140">
        <v>20</v>
      </c>
      <c r="W275" s="15"/>
    </row>
    <row r="276" spans="1:23" ht="17.100000000000001" customHeight="1" x14ac:dyDescent="0.3">
      <c r="A276" s="139">
        <v>10239</v>
      </c>
      <c r="B276" s="135" t="s">
        <v>88</v>
      </c>
      <c r="C276" s="134" t="s">
        <v>371</v>
      </c>
      <c r="D276" s="134">
        <v>3</v>
      </c>
      <c r="E276" s="134" t="b">
        <v>0</v>
      </c>
      <c r="F276" s="134">
        <v>160</v>
      </c>
      <c r="G276" s="134" t="s">
        <v>127</v>
      </c>
      <c r="H276" s="134" t="s">
        <v>112</v>
      </c>
      <c r="I276" s="137">
        <v>0.4</v>
      </c>
      <c r="J276" s="134" t="s">
        <v>166</v>
      </c>
      <c r="K276" s="134" t="s">
        <v>129</v>
      </c>
      <c r="L276" s="134"/>
      <c r="M276" s="134">
        <v>0</v>
      </c>
      <c r="N276" s="134">
        <v>0</v>
      </c>
      <c r="O276" s="134">
        <v>1</v>
      </c>
      <c r="P276" s="134">
        <v>1</v>
      </c>
      <c r="Q276" s="140">
        <v>0</v>
      </c>
      <c r="R276" s="139">
        <v>5</v>
      </c>
      <c r="S276" s="134">
        <v>170</v>
      </c>
      <c r="T276" s="134">
        <v>3500</v>
      </c>
      <c r="U276" s="134">
        <v>25</v>
      </c>
      <c r="V276" s="140">
        <v>10</v>
      </c>
      <c r="W276" s="15"/>
    </row>
    <row r="277" spans="1:23" ht="17.100000000000001" customHeight="1" x14ac:dyDescent="0.3">
      <c r="A277" s="139">
        <v>10240</v>
      </c>
      <c r="B277" s="135" t="s">
        <v>88</v>
      </c>
      <c r="C277" s="134" t="s">
        <v>372</v>
      </c>
      <c r="D277" s="134">
        <v>3</v>
      </c>
      <c r="E277" s="134" t="b">
        <v>0</v>
      </c>
      <c r="F277" s="134">
        <v>165</v>
      </c>
      <c r="G277" s="134" t="s">
        <v>127</v>
      </c>
      <c r="H277" s="134" t="s">
        <v>112</v>
      </c>
      <c r="I277" s="137">
        <v>0.3</v>
      </c>
      <c r="J277" s="134" t="s">
        <v>252</v>
      </c>
      <c r="K277" s="134" t="s">
        <v>129</v>
      </c>
      <c r="L277" s="134"/>
      <c r="M277" s="134">
        <v>0</v>
      </c>
      <c r="N277" s="134">
        <v>0</v>
      </c>
      <c r="O277" s="134">
        <v>1</v>
      </c>
      <c r="P277" s="134">
        <v>2</v>
      </c>
      <c r="Q277" s="140">
        <v>0</v>
      </c>
      <c r="R277" s="139">
        <v>5</v>
      </c>
      <c r="S277" s="134">
        <v>170</v>
      </c>
      <c r="T277" s="134">
        <v>3500</v>
      </c>
      <c r="U277" s="134">
        <v>25</v>
      </c>
      <c r="V277" s="140">
        <v>10</v>
      </c>
      <c r="W277" s="15"/>
    </row>
    <row r="278" spans="1:23" ht="17.100000000000001" customHeight="1" x14ac:dyDescent="0.3">
      <c r="A278" s="139">
        <v>10241</v>
      </c>
      <c r="B278" s="135" t="s">
        <v>88</v>
      </c>
      <c r="C278" s="134" t="s">
        <v>373</v>
      </c>
      <c r="D278" s="134">
        <v>3</v>
      </c>
      <c r="E278" s="134" t="b">
        <v>0</v>
      </c>
      <c r="F278" s="134">
        <v>165</v>
      </c>
      <c r="G278" s="134" t="s">
        <v>127</v>
      </c>
      <c r="H278" s="137">
        <v>3</v>
      </c>
      <c r="I278" s="137">
        <v>0.3</v>
      </c>
      <c r="J278" s="134" t="s">
        <v>252</v>
      </c>
      <c r="K278" s="134" t="s">
        <v>129</v>
      </c>
      <c r="L278" s="134"/>
      <c r="M278" s="134">
        <v>0</v>
      </c>
      <c r="N278" s="134">
        <v>0</v>
      </c>
      <c r="O278" s="134">
        <v>1</v>
      </c>
      <c r="P278" s="134">
        <v>2</v>
      </c>
      <c r="Q278" s="140">
        <v>0</v>
      </c>
      <c r="R278" s="139">
        <v>5</v>
      </c>
      <c r="S278" s="134">
        <v>170</v>
      </c>
      <c r="T278" s="134">
        <v>3500</v>
      </c>
      <c r="U278" s="134">
        <v>25</v>
      </c>
      <c r="V278" s="140">
        <v>10</v>
      </c>
      <c r="W278" s="15"/>
    </row>
    <row r="279" spans="1:23" ht="17.100000000000001" customHeight="1" x14ac:dyDescent="0.3">
      <c r="A279" s="139">
        <v>10242</v>
      </c>
      <c r="B279" s="135" t="s">
        <v>88</v>
      </c>
      <c r="C279" s="134" t="s">
        <v>374</v>
      </c>
      <c r="D279" s="134">
        <v>3</v>
      </c>
      <c r="E279" s="134" t="b">
        <v>0</v>
      </c>
      <c r="F279" s="134">
        <v>95</v>
      </c>
      <c r="G279" s="134" t="s">
        <v>46</v>
      </c>
      <c r="H279" s="137">
        <v>2</v>
      </c>
      <c r="I279" s="137">
        <v>0.6</v>
      </c>
      <c r="J279" s="134" t="s">
        <v>157</v>
      </c>
      <c r="K279" s="134" t="s">
        <v>102</v>
      </c>
      <c r="L279" s="134"/>
      <c r="M279" s="134">
        <v>0</v>
      </c>
      <c r="N279" s="134">
        <v>0</v>
      </c>
      <c r="O279" s="134">
        <v>0</v>
      </c>
      <c r="P279" s="134">
        <v>0</v>
      </c>
      <c r="Q279" s="140">
        <v>0</v>
      </c>
      <c r="R279" s="139">
        <v>5</v>
      </c>
      <c r="S279" s="134">
        <v>80</v>
      </c>
      <c r="T279" s="134">
        <v>1000</v>
      </c>
      <c r="U279" s="134">
        <v>10</v>
      </c>
      <c r="V279" s="140">
        <v>0</v>
      </c>
      <c r="W279" s="15"/>
    </row>
    <row r="280" spans="1:23" ht="17.100000000000001" customHeight="1" x14ac:dyDescent="0.3">
      <c r="A280" s="139">
        <v>10243</v>
      </c>
      <c r="B280" s="135" t="s">
        <v>88</v>
      </c>
      <c r="C280" s="134" t="s">
        <v>375</v>
      </c>
      <c r="D280" s="134">
        <v>3</v>
      </c>
      <c r="E280" s="134" t="b">
        <v>0</v>
      </c>
      <c r="F280" s="134">
        <v>145</v>
      </c>
      <c r="G280" s="134" t="s">
        <v>127</v>
      </c>
      <c r="H280" s="134" t="s">
        <v>112</v>
      </c>
      <c r="I280" s="137">
        <v>0.4</v>
      </c>
      <c r="J280" s="134" t="s">
        <v>172</v>
      </c>
      <c r="K280" s="134" t="s">
        <v>137</v>
      </c>
      <c r="L280" s="134"/>
      <c r="M280" s="134">
        <v>0</v>
      </c>
      <c r="N280" s="134">
        <v>0</v>
      </c>
      <c r="O280" s="134">
        <v>0</v>
      </c>
      <c r="P280" s="134">
        <v>0</v>
      </c>
      <c r="Q280" s="140">
        <v>0</v>
      </c>
      <c r="R280" s="139">
        <v>5</v>
      </c>
      <c r="S280" s="134">
        <v>120</v>
      </c>
      <c r="T280" s="134">
        <v>2000</v>
      </c>
      <c r="U280" s="134">
        <v>15</v>
      </c>
      <c r="V280" s="140">
        <v>5</v>
      </c>
      <c r="W280" s="15"/>
    </row>
    <row r="281" spans="1:23" ht="17.100000000000001" customHeight="1" x14ac:dyDescent="0.3">
      <c r="A281" s="139">
        <v>10244</v>
      </c>
      <c r="B281" s="135" t="s">
        <v>88</v>
      </c>
      <c r="C281" s="134" t="s">
        <v>376</v>
      </c>
      <c r="D281" s="134">
        <v>3</v>
      </c>
      <c r="E281" s="134" t="b">
        <v>0</v>
      </c>
      <c r="F281" s="134">
        <v>155</v>
      </c>
      <c r="G281" s="134" t="s">
        <v>127</v>
      </c>
      <c r="H281" s="134" t="s">
        <v>112</v>
      </c>
      <c r="I281" s="137">
        <v>0.4</v>
      </c>
      <c r="J281" s="134" t="s">
        <v>264</v>
      </c>
      <c r="K281" s="134" t="s">
        <v>129</v>
      </c>
      <c r="L281" s="134"/>
      <c r="M281" s="134">
        <v>0</v>
      </c>
      <c r="N281" s="134">
        <v>0</v>
      </c>
      <c r="O281" s="134">
        <v>0</v>
      </c>
      <c r="P281" s="134">
        <v>1</v>
      </c>
      <c r="Q281" s="140">
        <v>0</v>
      </c>
      <c r="R281" s="139">
        <v>5</v>
      </c>
      <c r="S281" s="134">
        <v>170</v>
      </c>
      <c r="T281" s="134">
        <v>3500</v>
      </c>
      <c r="U281" s="134">
        <v>25</v>
      </c>
      <c r="V281" s="140">
        <v>10</v>
      </c>
      <c r="W281" s="15"/>
    </row>
    <row r="282" spans="1:23" ht="17.100000000000001" customHeight="1" x14ac:dyDescent="0.3">
      <c r="A282" s="139">
        <v>10245</v>
      </c>
      <c r="B282" s="135" t="s">
        <v>88</v>
      </c>
      <c r="C282" s="134" t="s">
        <v>377</v>
      </c>
      <c r="D282" s="134">
        <v>3</v>
      </c>
      <c r="E282" s="134" t="b">
        <v>0</v>
      </c>
      <c r="F282" s="134">
        <v>180</v>
      </c>
      <c r="G282" s="134" t="s">
        <v>127</v>
      </c>
      <c r="H282" s="137">
        <v>3</v>
      </c>
      <c r="I282" s="137">
        <v>0.3</v>
      </c>
      <c r="J282" s="134" t="s">
        <v>189</v>
      </c>
      <c r="K282" s="134" t="s">
        <v>129</v>
      </c>
      <c r="L282" s="134"/>
      <c r="M282" s="134">
        <v>0</v>
      </c>
      <c r="N282" s="134">
        <v>0</v>
      </c>
      <c r="O282" s="134">
        <v>2</v>
      </c>
      <c r="P282" s="134">
        <v>3</v>
      </c>
      <c r="Q282" s="140">
        <v>0</v>
      </c>
      <c r="R282" s="139">
        <v>5</v>
      </c>
      <c r="S282" s="134">
        <v>230</v>
      </c>
      <c r="T282" s="134">
        <v>5500</v>
      </c>
      <c r="U282" s="134">
        <v>40</v>
      </c>
      <c r="V282" s="140">
        <v>20</v>
      </c>
      <c r="W282" s="15"/>
    </row>
    <row r="283" spans="1:23" ht="17.100000000000001" customHeight="1" x14ac:dyDescent="0.3">
      <c r="A283" s="139">
        <v>10246</v>
      </c>
      <c r="B283" s="135" t="s">
        <v>88</v>
      </c>
      <c r="C283" s="134" t="s">
        <v>378</v>
      </c>
      <c r="D283" s="134">
        <v>3</v>
      </c>
      <c r="E283" s="134" t="b">
        <v>0</v>
      </c>
      <c r="F283" s="134">
        <v>195</v>
      </c>
      <c r="G283" s="134" t="s">
        <v>127</v>
      </c>
      <c r="H283" s="137">
        <v>3</v>
      </c>
      <c r="I283" s="137">
        <v>0.2</v>
      </c>
      <c r="J283" s="134" t="s">
        <v>128</v>
      </c>
      <c r="K283" s="134" t="s">
        <v>129</v>
      </c>
      <c r="L283" s="134"/>
      <c r="M283" s="134">
        <v>0</v>
      </c>
      <c r="N283" s="134">
        <v>0</v>
      </c>
      <c r="O283" s="134">
        <v>4</v>
      </c>
      <c r="P283" s="134">
        <v>5</v>
      </c>
      <c r="Q283" s="140">
        <v>0</v>
      </c>
      <c r="R283" s="139">
        <v>5</v>
      </c>
      <c r="S283" s="134">
        <v>230</v>
      </c>
      <c r="T283" s="134">
        <v>5500</v>
      </c>
      <c r="U283" s="134">
        <v>40</v>
      </c>
      <c r="V283" s="140">
        <v>20</v>
      </c>
      <c r="W283" s="15"/>
    </row>
    <row r="284" spans="1:23" ht="17.100000000000001" customHeight="1" x14ac:dyDescent="0.3">
      <c r="A284" s="139">
        <v>10247</v>
      </c>
      <c r="B284" s="135" t="s">
        <v>88</v>
      </c>
      <c r="C284" s="134" t="s">
        <v>379</v>
      </c>
      <c r="D284" s="134">
        <v>3</v>
      </c>
      <c r="E284" s="134" t="b">
        <v>0</v>
      </c>
      <c r="F284" s="134">
        <v>150</v>
      </c>
      <c r="G284" s="134" t="s">
        <v>127</v>
      </c>
      <c r="H284" s="134" t="s">
        <v>112</v>
      </c>
      <c r="I284" s="137">
        <v>0.4</v>
      </c>
      <c r="J284" s="134" t="s">
        <v>207</v>
      </c>
      <c r="K284" s="134" t="s">
        <v>137</v>
      </c>
      <c r="L284" s="134"/>
      <c r="M284" s="134">
        <v>0</v>
      </c>
      <c r="N284" s="134">
        <v>0</v>
      </c>
      <c r="O284" s="134">
        <v>0</v>
      </c>
      <c r="P284" s="134">
        <v>1</v>
      </c>
      <c r="Q284" s="140">
        <v>0</v>
      </c>
      <c r="R284" s="139">
        <v>5</v>
      </c>
      <c r="S284" s="134">
        <v>120</v>
      </c>
      <c r="T284" s="134">
        <v>2000</v>
      </c>
      <c r="U284" s="134">
        <v>15</v>
      </c>
      <c r="V284" s="140">
        <v>5</v>
      </c>
      <c r="W284" s="15"/>
    </row>
    <row r="285" spans="1:23" ht="17.100000000000001" customHeight="1" x14ac:dyDescent="0.3">
      <c r="A285" s="139">
        <v>10248</v>
      </c>
      <c r="B285" s="135" t="s">
        <v>88</v>
      </c>
      <c r="C285" s="134" t="s">
        <v>380</v>
      </c>
      <c r="D285" s="134">
        <v>3</v>
      </c>
      <c r="E285" s="134" t="b">
        <v>0</v>
      </c>
      <c r="F285" s="134">
        <v>170</v>
      </c>
      <c r="G285" s="134" t="s">
        <v>127</v>
      </c>
      <c r="H285" s="137">
        <v>3</v>
      </c>
      <c r="I285" s="137">
        <v>0.3</v>
      </c>
      <c r="J285" s="134" t="s">
        <v>148</v>
      </c>
      <c r="K285" s="134" t="s">
        <v>129</v>
      </c>
      <c r="L285" s="134"/>
      <c r="M285" s="134">
        <v>0</v>
      </c>
      <c r="N285" s="134">
        <v>0</v>
      </c>
      <c r="O285" s="134">
        <v>2</v>
      </c>
      <c r="P285" s="134">
        <v>3</v>
      </c>
      <c r="Q285" s="140">
        <v>0</v>
      </c>
      <c r="R285" s="139">
        <v>5</v>
      </c>
      <c r="S285" s="134">
        <v>170</v>
      </c>
      <c r="T285" s="134">
        <v>3500</v>
      </c>
      <c r="U285" s="134">
        <v>25</v>
      </c>
      <c r="V285" s="140">
        <v>10</v>
      </c>
      <c r="W285" s="15"/>
    </row>
    <row r="286" spans="1:23" ht="17.100000000000001" customHeight="1" x14ac:dyDescent="0.3">
      <c r="A286" s="139">
        <v>10249</v>
      </c>
      <c r="B286" s="135" t="s">
        <v>88</v>
      </c>
      <c r="C286" s="134" t="s">
        <v>381</v>
      </c>
      <c r="D286" s="134">
        <v>3</v>
      </c>
      <c r="E286" s="134" t="b">
        <v>0</v>
      </c>
      <c r="F286" s="134">
        <v>145</v>
      </c>
      <c r="G286" s="134" t="s">
        <v>127</v>
      </c>
      <c r="H286" s="134" t="s">
        <v>112</v>
      </c>
      <c r="I286" s="137">
        <v>0.4</v>
      </c>
      <c r="J286" s="134" t="s">
        <v>172</v>
      </c>
      <c r="K286" s="134" t="s">
        <v>137</v>
      </c>
      <c r="L286" s="134"/>
      <c r="M286" s="134">
        <v>0</v>
      </c>
      <c r="N286" s="134">
        <v>0</v>
      </c>
      <c r="O286" s="134">
        <v>0</v>
      </c>
      <c r="P286" s="134">
        <v>0</v>
      </c>
      <c r="Q286" s="140">
        <v>0</v>
      </c>
      <c r="R286" s="139">
        <v>5</v>
      </c>
      <c r="S286" s="134">
        <v>120</v>
      </c>
      <c r="T286" s="134">
        <v>2000</v>
      </c>
      <c r="U286" s="134">
        <v>15</v>
      </c>
      <c r="V286" s="140">
        <v>5</v>
      </c>
      <c r="W286" s="15"/>
    </row>
    <row r="287" spans="1:23" ht="17.100000000000001" customHeight="1" x14ac:dyDescent="0.3">
      <c r="A287" s="139">
        <v>10250</v>
      </c>
      <c r="B287" s="135" t="s">
        <v>88</v>
      </c>
      <c r="C287" s="134" t="s">
        <v>382</v>
      </c>
      <c r="D287" s="134">
        <v>3</v>
      </c>
      <c r="E287" s="134" t="b">
        <v>0</v>
      </c>
      <c r="F287" s="134">
        <v>180</v>
      </c>
      <c r="G287" s="134" t="s">
        <v>127</v>
      </c>
      <c r="H287" s="137">
        <v>3</v>
      </c>
      <c r="I287" s="137">
        <v>0.3</v>
      </c>
      <c r="J287" s="134" t="s">
        <v>189</v>
      </c>
      <c r="K287" s="134" t="s">
        <v>129</v>
      </c>
      <c r="L287" s="134"/>
      <c r="M287" s="134">
        <v>0</v>
      </c>
      <c r="N287" s="134">
        <v>0</v>
      </c>
      <c r="O287" s="134">
        <v>3</v>
      </c>
      <c r="P287" s="134">
        <v>3</v>
      </c>
      <c r="Q287" s="140">
        <v>0</v>
      </c>
      <c r="R287" s="139">
        <v>5</v>
      </c>
      <c r="S287" s="134">
        <v>230</v>
      </c>
      <c r="T287" s="134">
        <v>5500</v>
      </c>
      <c r="U287" s="134">
        <v>40</v>
      </c>
      <c r="V287" s="140">
        <v>20</v>
      </c>
      <c r="W287" s="15"/>
    </row>
    <row r="288" spans="1:23" ht="17.100000000000001" customHeight="1" x14ac:dyDescent="0.3">
      <c r="A288" s="139">
        <v>10251</v>
      </c>
      <c r="B288" s="135" t="s">
        <v>88</v>
      </c>
      <c r="C288" s="134" t="s">
        <v>383</v>
      </c>
      <c r="D288" s="134">
        <v>3</v>
      </c>
      <c r="E288" s="134" t="b">
        <v>0</v>
      </c>
      <c r="F288" s="134">
        <v>185</v>
      </c>
      <c r="G288" s="134" t="s">
        <v>127</v>
      </c>
      <c r="H288" s="137">
        <v>3</v>
      </c>
      <c r="I288" s="137">
        <v>0.2</v>
      </c>
      <c r="J288" s="134" t="s">
        <v>142</v>
      </c>
      <c r="K288" s="134" t="s">
        <v>129</v>
      </c>
      <c r="L288" s="134"/>
      <c r="M288" s="134">
        <v>0</v>
      </c>
      <c r="N288" s="134">
        <v>0</v>
      </c>
      <c r="O288" s="134">
        <v>3</v>
      </c>
      <c r="P288" s="134">
        <v>4</v>
      </c>
      <c r="Q288" s="140">
        <v>0</v>
      </c>
      <c r="R288" s="139">
        <v>5</v>
      </c>
      <c r="S288" s="134">
        <v>230</v>
      </c>
      <c r="T288" s="134">
        <v>5500</v>
      </c>
      <c r="U288" s="134">
        <v>40</v>
      </c>
      <c r="V288" s="140">
        <v>20</v>
      </c>
      <c r="W288" s="15"/>
    </row>
    <row r="289" spans="1:23" ht="17.100000000000001" customHeight="1" x14ac:dyDescent="0.3">
      <c r="A289" s="139">
        <v>10252</v>
      </c>
      <c r="B289" s="135" t="s">
        <v>88</v>
      </c>
      <c r="C289" s="134" t="s">
        <v>384</v>
      </c>
      <c r="D289" s="134">
        <v>3</v>
      </c>
      <c r="E289" s="134" t="b">
        <v>0</v>
      </c>
      <c r="F289" s="134">
        <v>135</v>
      </c>
      <c r="G289" s="134" t="s">
        <v>127</v>
      </c>
      <c r="H289" s="134" t="s">
        <v>112</v>
      </c>
      <c r="I289" s="137">
        <v>0.4</v>
      </c>
      <c r="J289" s="134" t="s">
        <v>136</v>
      </c>
      <c r="K289" s="134" t="s">
        <v>137</v>
      </c>
      <c r="L289" s="134"/>
      <c r="M289" s="134">
        <v>0</v>
      </c>
      <c r="N289" s="134">
        <v>0</v>
      </c>
      <c r="O289" s="134">
        <v>0</v>
      </c>
      <c r="P289" s="134">
        <v>0</v>
      </c>
      <c r="Q289" s="140">
        <v>0</v>
      </c>
      <c r="R289" s="139">
        <v>5</v>
      </c>
      <c r="S289" s="134">
        <v>120</v>
      </c>
      <c r="T289" s="134">
        <v>2000</v>
      </c>
      <c r="U289" s="134">
        <v>15</v>
      </c>
      <c r="V289" s="140">
        <v>5</v>
      </c>
      <c r="W289" s="15"/>
    </row>
    <row r="290" spans="1:23" ht="17.100000000000001" customHeight="1" x14ac:dyDescent="0.3">
      <c r="A290" s="139">
        <v>10253</v>
      </c>
      <c r="B290" s="135" t="s">
        <v>88</v>
      </c>
      <c r="C290" s="134" t="s">
        <v>385</v>
      </c>
      <c r="D290" s="134">
        <v>3</v>
      </c>
      <c r="E290" s="134" t="b">
        <v>0</v>
      </c>
      <c r="F290" s="134">
        <v>150</v>
      </c>
      <c r="G290" s="134" t="s">
        <v>127</v>
      </c>
      <c r="H290" s="134" t="s">
        <v>112</v>
      </c>
      <c r="I290" s="137">
        <v>0.4</v>
      </c>
      <c r="J290" s="134" t="s">
        <v>134</v>
      </c>
      <c r="K290" s="134" t="s">
        <v>129</v>
      </c>
      <c r="L290" s="134"/>
      <c r="M290" s="134">
        <v>0</v>
      </c>
      <c r="N290" s="134">
        <v>0</v>
      </c>
      <c r="O290" s="134">
        <v>0</v>
      </c>
      <c r="P290" s="134">
        <v>1</v>
      </c>
      <c r="Q290" s="140">
        <v>0</v>
      </c>
      <c r="R290" s="139">
        <v>5</v>
      </c>
      <c r="S290" s="134">
        <v>170</v>
      </c>
      <c r="T290" s="134">
        <v>3500</v>
      </c>
      <c r="U290" s="134">
        <v>25</v>
      </c>
      <c r="V290" s="140">
        <v>10</v>
      </c>
      <c r="W290" s="15"/>
    </row>
    <row r="291" spans="1:23" ht="17.100000000000001" customHeight="1" x14ac:dyDescent="0.3">
      <c r="A291" s="139">
        <v>10254</v>
      </c>
      <c r="B291" s="135" t="s">
        <v>88</v>
      </c>
      <c r="C291" s="134" t="s">
        <v>386</v>
      </c>
      <c r="D291" s="134">
        <v>3</v>
      </c>
      <c r="E291" s="134" t="b">
        <v>0</v>
      </c>
      <c r="F291" s="134">
        <v>160</v>
      </c>
      <c r="G291" s="134" t="s">
        <v>127</v>
      </c>
      <c r="H291" s="134" t="s">
        <v>112</v>
      </c>
      <c r="I291" s="137">
        <v>0.4</v>
      </c>
      <c r="J291" s="134" t="s">
        <v>166</v>
      </c>
      <c r="K291" s="134" t="s">
        <v>129</v>
      </c>
      <c r="L291" s="134"/>
      <c r="M291" s="134">
        <v>0</v>
      </c>
      <c r="N291" s="134">
        <v>0</v>
      </c>
      <c r="O291" s="134">
        <v>1</v>
      </c>
      <c r="P291" s="134">
        <v>1</v>
      </c>
      <c r="Q291" s="140">
        <v>0</v>
      </c>
      <c r="R291" s="139">
        <v>5</v>
      </c>
      <c r="S291" s="134">
        <v>170</v>
      </c>
      <c r="T291" s="134">
        <v>3500</v>
      </c>
      <c r="U291" s="134">
        <v>25</v>
      </c>
      <c r="V291" s="140">
        <v>10</v>
      </c>
      <c r="W291" s="15"/>
    </row>
    <row r="292" spans="1:23" ht="17.100000000000001" customHeight="1" x14ac:dyDescent="0.3">
      <c r="A292" s="139">
        <v>10255</v>
      </c>
      <c r="B292" s="135" t="s">
        <v>88</v>
      </c>
      <c r="C292" s="134" t="s">
        <v>387</v>
      </c>
      <c r="D292" s="134">
        <v>3</v>
      </c>
      <c r="E292" s="134" t="b">
        <v>0</v>
      </c>
      <c r="F292" s="134">
        <v>165</v>
      </c>
      <c r="G292" s="134" t="s">
        <v>127</v>
      </c>
      <c r="H292" s="137">
        <v>3</v>
      </c>
      <c r="I292" s="137">
        <v>0.3</v>
      </c>
      <c r="J292" s="134" t="s">
        <v>252</v>
      </c>
      <c r="K292" s="134" t="s">
        <v>129</v>
      </c>
      <c r="L292" s="134"/>
      <c r="M292" s="134">
        <v>0</v>
      </c>
      <c r="N292" s="134">
        <v>0</v>
      </c>
      <c r="O292" s="134">
        <v>1</v>
      </c>
      <c r="P292" s="134">
        <v>2</v>
      </c>
      <c r="Q292" s="140">
        <v>0</v>
      </c>
      <c r="R292" s="139">
        <v>5</v>
      </c>
      <c r="S292" s="134">
        <v>170</v>
      </c>
      <c r="T292" s="134">
        <v>3500</v>
      </c>
      <c r="U292" s="134">
        <v>25</v>
      </c>
      <c r="V292" s="140">
        <v>10</v>
      </c>
      <c r="W292" s="15"/>
    </row>
    <row r="293" spans="1:23" ht="17.100000000000001" customHeight="1" x14ac:dyDescent="0.3">
      <c r="A293" s="139">
        <v>10256</v>
      </c>
      <c r="B293" s="135" t="s">
        <v>88</v>
      </c>
      <c r="C293" s="134" t="s">
        <v>388</v>
      </c>
      <c r="D293" s="134">
        <v>3</v>
      </c>
      <c r="E293" s="134" t="b">
        <v>0</v>
      </c>
      <c r="F293" s="134">
        <v>140</v>
      </c>
      <c r="G293" s="134" t="s">
        <v>127</v>
      </c>
      <c r="H293" s="134" t="s">
        <v>112</v>
      </c>
      <c r="I293" s="137">
        <v>0.4</v>
      </c>
      <c r="J293" s="134" t="s">
        <v>155</v>
      </c>
      <c r="K293" s="134" t="s">
        <v>137</v>
      </c>
      <c r="L293" s="134"/>
      <c r="M293" s="134">
        <v>0</v>
      </c>
      <c r="N293" s="134">
        <v>0</v>
      </c>
      <c r="O293" s="134">
        <v>0</v>
      </c>
      <c r="P293" s="134">
        <v>0</v>
      </c>
      <c r="Q293" s="140">
        <v>0</v>
      </c>
      <c r="R293" s="139">
        <v>5</v>
      </c>
      <c r="S293" s="134">
        <v>120</v>
      </c>
      <c r="T293" s="134">
        <v>2000</v>
      </c>
      <c r="U293" s="134">
        <v>15</v>
      </c>
      <c r="V293" s="140">
        <v>5</v>
      </c>
      <c r="W293" s="15"/>
    </row>
    <row r="294" spans="1:23" ht="17.100000000000001" customHeight="1" x14ac:dyDescent="0.3">
      <c r="A294" s="139">
        <v>10257</v>
      </c>
      <c r="B294" s="135" t="s">
        <v>88</v>
      </c>
      <c r="C294" s="134" t="s">
        <v>389</v>
      </c>
      <c r="D294" s="134">
        <v>3</v>
      </c>
      <c r="E294" s="134" t="b">
        <v>0</v>
      </c>
      <c r="F294" s="134">
        <v>70</v>
      </c>
      <c r="G294" s="134" t="s">
        <v>46</v>
      </c>
      <c r="H294" s="137">
        <v>1</v>
      </c>
      <c r="I294" s="137">
        <v>0.6</v>
      </c>
      <c r="J294" s="134" t="s">
        <v>96</v>
      </c>
      <c r="K294" s="134" t="s">
        <v>54</v>
      </c>
      <c r="L294" s="134"/>
      <c r="M294" s="134">
        <v>0</v>
      </c>
      <c r="N294" s="134">
        <v>0</v>
      </c>
      <c r="O294" s="134">
        <v>0</v>
      </c>
      <c r="P294" s="134">
        <v>0</v>
      </c>
      <c r="Q294" s="140">
        <v>0</v>
      </c>
      <c r="R294" s="139">
        <v>5</v>
      </c>
      <c r="S294" s="134">
        <v>50</v>
      </c>
      <c r="T294" s="134">
        <v>500</v>
      </c>
      <c r="U294" s="134">
        <v>5</v>
      </c>
      <c r="V294" s="140">
        <v>0</v>
      </c>
      <c r="W294" s="15"/>
    </row>
    <row r="295" spans="1:23" ht="17.100000000000001" customHeight="1" x14ac:dyDescent="0.3">
      <c r="A295" s="139">
        <v>10258</v>
      </c>
      <c r="B295" s="135" t="s">
        <v>88</v>
      </c>
      <c r="C295" s="134" t="s">
        <v>390</v>
      </c>
      <c r="D295" s="134">
        <v>3</v>
      </c>
      <c r="E295" s="134" t="b">
        <v>0</v>
      </c>
      <c r="F295" s="134">
        <v>135</v>
      </c>
      <c r="G295" s="134" t="s">
        <v>127</v>
      </c>
      <c r="H295" s="134" t="s">
        <v>112</v>
      </c>
      <c r="I295" s="137">
        <v>0.4</v>
      </c>
      <c r="J295" s="134" t="s">
        <v>136</v>
      </c>
      <c r="K295" s="134" t="s">
        <v>137</v>
      </c>
      <c r="L295" s="134"/>
      <c r="M295" s="134">
        <v>0</v>
      </c>
      <c r="N295" s="134">
        <v>0</v>
      </c>
      <c r="O295" s="134">
        <v>0</v>
      </c>
      <c r="P295" s="134">
        <v>0</v>
      </c>
      <c r="Q295" s="140">
        <v>0</v>
      </c>
      <c r="R295" s="139">
        <v>5</v>
      </c>
      <c r="S295" s="134">
        <v>120</v>
      </c>
      <c r="T295" s="134">
        <v>2000</v>
      </c>
      <c r="U295" s="134">
        <v>15</v>
      </c>
      <c r="V295" s="140">
        <v>5</v>
      </c>
      <c r="W295" s="15"/>
    </row>
    <row r="296" spans="1:23" ht="17.100000000000001" customHeight="1" x14ac:dyDescent="0.3">
      <c r="A296" s="139">
        <v>10259</v>
      </c>
      <c r="B296" s="135" t="s">
        <v>88</v>
      </c>
      <c r="C296" s="134" t="s">
        <v>391</v>
      </c>
      <c r="D296" s="134">
        <v>3</v>
      </c>
      <c r="E296" s="134" t="b">
        <v>0</v>
      </c>
      <c r="F296" s="134">
        <v>180</v>
      </c>
      <c r="G296" s="134" t="s">
        <v>127</v>
      </c>
      <c r="H296" s="137">
        <v>3</v>
      </c>
      <c r="I296" s="137">
        <v>0.3</v>
      </c>
      <c r="J296" s="134" t="s">
        <v>189</v>
      </c>
      <c r="K296" s="134" t="s">
        <v>129</v>
      </c>
      <c r="L296" s="134"/>
      <c r="M296" s="134">
        <v>0</v>
      </c>
      <c r="N296" s="134">
        <v>0</v>
      </c>
      <c r="O296" s="134">
        <v>3</v>
      </c>
      <c r="P296" s="134">
        <v>3</v>
      </c>
      <c r="Q296" s="140">
        <v>0</v>
      </c>
      <c r="R296" s="139">
        <v>5</v>
      </c>
      <c r="S296" s="134">
        <v>230</v>
      </c>
      <c r="T296" s="134">
        <v>5500</v>
      </c>
      <c r="U296" s="134">
        <v>40</v>
      </c>
      <c r="V296" s="140">
        <v>20</v>
      </c>
      <c r="W296" s="15"/>
    </row>
    <row r="297" spans="1:23" ht="17.100000000000001" customHeight="1" x14ac:dyDescent="0.3">
      <c r="A297" s="139">
        <v>10260</v>
      </c>
      <c r="B297" s="135" t="s">
        <v>88</v>
      </c>
      <c r="C297" s="134" t="s">
        <v>392</v>
      </c>
      <c r="D297" s="134">
        <v>3</v>
      </c>
      <c r="E297" s="134" t="b">
        <v>0</v>
      </c>
      <c r="F297" s="134">
        <v>140</v>
      </c>
      <c r="G297" s="134" t="s">
        <v>127</v>
      </c>
      <c r="H297" s="134" t="s">
        <v>112</v>
      </c>
      <c r="I297" s="137">
        <v>0.4</v>
      </c>
      <c r="J297" s="134" t="s">
        <v>155</v>
      </c>
      <c r="K297" s="134" t="s">
        <v>137</v>
      </c>
      <c r="L297" s="134"/>
      <c r="M297" s="134">
        <v>0</v>
      </c>
      <c r="N297" s="134">
        <v>0</v>
      </c>
      <c r="O297" s="134">
        <v>0</v>
      </c>
      <c r="P297" s="134">
        <v>0</v>
      </c>
      <c r="Q297" s="140">
        <v>0</v>
      </c>
      <c r="R297" s="139">
        <v>5</v>
      </c>
      <c r="S297" s="134">
        <v>120</v>
      </c>
      <c r="T297" s="134">
        <v>2000</v>
      </c>
      <c r="U297" s="134">
        <v>15</v>
      </c>
      <c r="V297" s="140">
        <v>5</v>
      </c>
      <c r="W297" s="15"/>
    </row>
    <row r="298" spans="1:23" ht="17.100000000000001" customHeight="1" x14ac:dyDescent="0.3">
      <c r="A298" s="139">
        <v>10261</v>
      </c>
      <c r="B298" s="135" t="s">
        <v>88</v>
      </c>
      <c r="C298" s="134" t="s">
        <v>393</v>
      </c>
      <c r="D298" s="134">
        <v>3</v>
      </c>
      <c r="E298" s="134" t="b">
        <v>0</v>
      </c>
      <c r="F298" s="134">
        <v>175</v>
      </c>
      <c r="G298" s="134" t="s">
        <v>127</v>
      </c>
      <c r="H298" s="137">
        <v>3</v>
      </c>
      <c r="I298" s="137">
        <v>0.3</v>
      </c>
      <c r="J298" s="134" t="s">
        <v>131</v>
      </c>
      <c r="K298" s="134" t="s">
        <v>129</v>
      </c>
      <c r="L298" s="134"/>
      <c r="M298" s="134">
        <v>0</v>
      </c>
      <c r="N298" s="134">
        <v>0</v>
      </c>
      <c r="O298" s="134">
        <v>2</v>
      </c>
      <c r="P298" s="134">
        <v>3</v>
      </c>
      <c r="Q298" s="140">
        <v>0</v>
      </c>
      <c r="R298" s="139">
        <v>5</v>
      </c>
      <c r="S298" s="134">
        <v>230</v>
      </c>
      <c r="T298" s="134">
        <v>5500</v>
      </c>
      <c r="U298" s="134">
        <v>40</v>
      </c>
      <c r="V298" s="140">
        <v>20</v>
      </c>
      <c r="W298" s="15"/>
    </row>
    <row r="299" spans="1:23" ht="17.100000000000001" customHeight="1" x14ac:dyDescent="0.3">
      <c r="A299" s="139">
        <v>10262</v>
      </c>
      <c r="B299" s="135" t="s">
        <v>88</v>
      </c>
      <c r="C299" s="134" t="s">
        <v>394</v>
      </c>
      <c r="D299" s="134">
        <v>3</v>
      </c>
      <c r="E299" s="134" t="b">
        <v>0</v>
      </c>
      <c r="F299" s="134">
        <v>145</v>
      </c>
      <c r="G299" s="134" t="s">
        <v>127</v>
      </c>
      <c r="H299" s="134" t="s">
        <v>112</v>
      </c>
      <c r="I299" s="137">
        <v>0.4</v>
      </c>
      <c r="J299" s="134" t="s">
        <v>172</v>
      </c>
      <c r="K299" s="134" t="s">
        <v>137</v>
      </c>
      <c r="L299" s="134"/>
      <c r="M299" s="134">
        <v>0</v>
      </c>
      <c r="N299" s="134">
        <v>0</v>
      </c>
      <c r="O299" s="134">
        <v>0</v>
      </c>
      <c r="P299" s="134">
        <v>1</v>
      </c>
      <c r="Q299" s="140">
        <v>0</v>
      </c>
      <c r="R299" s="139">
        <v>5</v>
      </c>
      <c r="S299" s="134">
        <v>120</v>
      </c>
      <c r="T299" s="134">
        <v>2000</v>
      </c>
      <c r="U299" s="134">
        <v>15</v>
      </c>
      <c r="V299" s="140">
        <v>5</v>
      </c>
      <c r="W299" s="15"/>
    </row>
    <row r="300" spans="1:23" ht="17.100000000000001" customHeight="1" x14ac:dyDescent="0.3">
      <c r="A300" s="139">
        <v>10263</v>
      </c>
      <c r="B300" s="135" t="s">
        <v>88</v>
      </c>
      <c r="C300" s="134" t="s">
        <v>395</v>
      </c>
      <c r="D300" s="134">
        <v>3</v>
      </c>
      <c r="E300" s="134" t="b">
        <v>0</v>
      </c>
      <c r="F300" s="134">
        <v>160</v>
      </c>
      <c r="G300" s="134" t="s">
        <v>127</v>
      </c>
      <c r="H300" s="134" t="s">
        <v>112</v>
      </c>
      <c r="I300" s="137">
        <v>0.3</v>
      </c>
      <c r="J300" s="134" t="s">
        <v>166</v>
      </c>
      <c r="K300" s="134" t="s">
        <v>129</v>
      </c>
      <c r="L300" s="134"/>
      <c r="M300" s="134">
        <v>0</v>
      </c>
      <c r="N300" s="134">
        <v>0</v>
      </c>
      <c r="O300" s="134">
        <v>1</v>
      </c>
      <c r="P300" s="134">
        <v>1</v>
      </c>
      <c r="Q300" s="140">
        <v>0</v>
      </c>
      <c r="R300" s="139">
        <v>5</v>
      </c>
      <c r="S300" s="134">
        <v>170</v>
      </c>
      <c r="T300" s="134">
        <v>3500</v>
      </c>
      <c r="U300" s="134">
        <v>25</v>
      </c>
      <c r="V300" s="140">
        <v>10</v>
      </c>
      <c r="W300" s="15"/>
    </row>
    <row r="301" spans="1:23" ht="17.100000000000001" customHeight="1" x14ac:dyDescent="0.3">
      <c r="A301" s="139">
        <v>10264</v>
      </c>
      <c r="B301" s="135" t="s">
        <v>88</v>
      </c>
      <c r="C301" s="134" t="s">
        <v>396</v>
      </c>
      <c r="D301" s="134">
        <v>3</v>
      </c>
      <c r="E301" s="134" t="b">
        <v>0</v>
      </c>
      <c r="F301" s="134">
        <v>200</v>
      </c>
      <c r="G301" s="134" t="s">
        <v>127</v>
      </c>
      <c r="H301" s="137">
        <v>3</v>
      </c>
      <c r="I301" s="137">
        <v>0.2</v>
      </c>
      <c r="J301" s="134" t="s">
        <v>223</v>
      </c>
      <c r="K301" s="134" t="s">
        <v>129</v>
      </c>
      <c r="L301" s="134"/>
      <c r="M301" s="134">
        <v>0</v>
      </c>
      <c r="N301" s="134">
        <v>0</v>
      </c>
      <c r="O301" s="134">
        <v>5</v>
      </c>
      <c r="P301" s="134">
        <v>6</v>
      </c>
      <c r="Q301" s="140">
        <v>0</v>
      </c>
      <c r="R301" s="139">
        <v>5</v>
      </c>
      <c r="S301" s="134">
        <v>230</v>
      </c>
      <c r="T301" s="134">
        <v>5500</v>
      </c>
      <c r="U301" s="134">
        <v>40</v>
      </c>
      <c r="V301" s="140">
        <v>20</v>
      </c>
      <c r="W301" s="15"/>
    </row>
    <row r="302" spans="1:23" ht="17.100000000000001" customHeight="1" x14ac:dyDescent="0.3">
      <c r="A302" s="139">
        <v>10265</v>
      </c>
      <c r="B302" s="135" t="s">
        <v>88</v>
      </c>
      <c r="C302" s="134" t="s">
        <v>397</v>
      </c>
      <c r="D302" s="134">
        <v>3</v>
      </c>
      <c r="E302" s="134" t="b">
        <v>0</v>
      </c>
      <c r="F302" s="134">
        <v>175</v>
      </c>
      <c r="G302" s="134" t="s">
        <v>127</v>
      </c>
      <c r="H302" s="137">
        <v>3</v>
      </c>
      <c r="I302" s="137">
        <v>0.3</v>
      </c>
      <c r="J302" s="134" t="s">
        <v>131</v>
      </c>
      <c r="K302" s="134" t="s">
        <v>129</v>
      </c>
      <c r="L302" s="134"/>
      <c r="M302" s="134">
        <v>0</v>
      </c>
      <c r="N302" s="134">
        <v>0</v>
      </c>
      <c r="O302" s="134">
        <v>2</v>
      </c>
      <c r="P302" s="134">
        <v>3</v>
      </c>
      <c r="Q302" s="140">
        <v>0</v>
      </c>
      <c r="R302" s="139">
        <v>5</v>
      </c>
      <c r="S302" s="134">
        <v>230</v>
      </c>
      <c r="T302" s="134">
        <v>5500</v>
      </c>
      <c r="U302" s="134">
        <v>40</v>
      </c>
      <c r="V302" s="140">
        <v>20</v>
      </c>
      <c r="W302" s="15"/>
    </row>
    <row r="303" spans="1:23" ht="17.100000000000001" customHeight="1" x14ac:dyDescent="0.3">
      <c r="A303" s="139">
        <v>10266</v>
      </c>
      <c r="B303" s="135" t="s">
        <v>88</v>
      </c>
      <c r="C303" s="134" t="s">
        <v>398</v>
      </c>
      <c r="D303" s="134">
        <v>3</v>
      </c>
      <c r="E303" s="134" t="b">
        <v>0</v>
      </c>
      <c r="F303" s="134">
        <v>170</v>
      </c>
      <c r="G303" s="134" t="s">
        <v>127</v>
      </c>
      <c r="H303" s="137">
        <v>3</v>
      </c>
      <c r="I303" s="137">
        <v>0.3</v>
      </c>
      <c r="J303" s="134" t="s">
        <v>148</v>
      </c>
      <c r="K303" s="134" t="s">
        <v>129</v>
      </c>
      <c r="L303" s="134"/>
      <c r="M303" s="134">
        <v>0</v>
      </c>
      <c r="N303" s="134">
        <v>0</v>
      </c>
      <c r="O303" s="134">
        <v>2</v>
      </c>
      <c r="P303" s="134">
        <v>2</v>
      </c>
      <c r="Q303" s="140">
        <v>0</v>
      </c>
      <c r="R303" s="139">
        <v>5</v>
      </c>
      <c r="S303" s="134">
        <v>170</v>
      </c>
      <c r="T303" s="134">
        <v>3500</v>
      </c>
      <c r="U303" s="134">
        <v>25</v>
      </c>
      <c r="V303" s="140">
        <v>10</v>
      </c>
      <c r="W303" s="15"/>
    </row>
    <row r="304" spans="1:23" ht="17.100000000000001" customHeight="1" x14ac:dyDescent="0.3">
      <c r="A304" s="139">
        <v>10267</v>
      </c>
      <c r="B304" s="135" t="s">
        <v>88</v>
      </c>
      <c r="C304" s="134" t="s">
        <v>399</v>
      </c>
      <c r="D304" s="134">
        <v>3</v>
      </c>
      <c r="E304" s="134" t="b">
        <v>0</v>
      </c>
      <c r="F304" s="134">
        <v>145</v>
      </c>
      <c r="G304" s="134" t="s">
        <v>127</v>
      </c>
      <c r="H304" s="134" t="s">
        <v>112</v>
      </c>
      <c r="I304" s="137">
        <v>0.4</v>
      </c>
      <c r="J304" s="134" t="s">
        <v>172</v>
      </c>
      <c r="K304" s="134" t="s">
        <v>137</v>
      </c>
      <c r="L304" s="134"/>
      <c r="M304" s="134">
        <v>0</v>
      </c>
      <c r="N304" s="134">
        <v>0</v>
      </c>
      <c r="O304" s="134">
        <v>0</v>
      </c>
      <c r="P304" s="134">
        <v>1</v>
      </c>
      <c r="Q304" s="140">
        <v>0</v>
      </c>
      <c r="R304" s="139">
        <v>5</v>
      </c>
      <c r="S304" s="134">
        <v>120</v>
      </c>
      <c r="T304" s="134">
        <v>2000</v>
      </c>
      <c r="U304" s="134">
        <v>15</v>
      </c>
      <c r="V304" s="140">
        <v>5</v>
      </c>
      <c r="W304" s="15"/>
    </row>
    <row r="305" spans="1:23" ht="17.100000000000001" customHeight="1" x14ac:dyDescent="0.3">
      <c r="A305" s="139">
        <v>10268</v>
      </c>
      <c r="B305" s="135" t="s">
        <v>88</v>
      </c>
      <c r="C305" s="134" t="s">
        <v>400</v>
      </c>
      <c r="D305" s="134">
        <v>3</v>
      </c>
      <c r="E305" s="134" t="b">
        <v>0</v>
      </c>
      <c r="F305" s="134">
        <v>155</v>
      </c>
      <c r="G305" s="134" t="s">
        <v>127</v>
      </c>
      <c r="H305" s="134" t="s">
        <v>112</v>
      </c>
      <c r="I305" s="137">
        <v>0.4</v>
      </c>
      <c r="J305" s="134" t="s">
        <v>264</v>
      </c>
      <c r="K305" s="134" t="s">
        <v>129</v>
      </c>
      <c r="L305" s="134"/>
      <c r="M305" s="134">
        <v>0</v>
      </c>
      <c r="N305" s="134">
        <v>0</v>
      </c>
      <c r="O305" s="134">
        <v>0</v>
      </c>
      <c r="P305" s="134">
        <v>1</v>
      </c>
      <c r="Q305" s="140">
        <v>0</v>
      </c>
      <c r="R305" s="139">
        <v>5</v>
      </c>
      <c r="S305" s="134">
        <v>170</v>
      </c>
      <c r="T305" s="134">
        <v>3500</v>
      </c>
      <c r="U305" s="134">
        <v>25</v>
      </c>
      <c r="V305" s="140">
        <v>10</v>
      </c>
      <c r="W305" s="15"/>
    </row>
    <row r="306" spans="1:23" ht="17.100000000000001" customHeight="1" x14ac:dyDescent="0.3">
      <c r="A306" s="139">
        <v>10269</v>
      </c>
      <c r="B306" s="135" t="s">
        <v>88</v>
      </c>
      <c r="C306" s="134" t="s">
        <v>401</v>
      </c>
      <c r="D306" s="134">
        <v>3</v>
      </c>
      <c r="E306" s="134" t="b">
        <v>0</v>
      </c>
      <c r="F306" s="134">
        <v>195</v>
      </c>
      <c r="G306" s="134" t="s">
        <v>127</v>
      </c>
      <c r="H306" s="137">
        <v>3</v>
      </c>
      <c r="I306" s="137">
        <v>0.2</v>
      </c>
      <c r="J306" s="134" t="s">
        <v>128</v>
      </c>
      <c r="K306" s="134" t="s">
        <v>129</v>
      </c>
      <c r="L306" s="134"/>
      <c r="M306" s="134">
        <v>0</v>
      </c>
      <c r="N306" s="134">
        <v>0</v>
      </c>
      <c r="O306" s="134">
        <v>4</v>
      </c>
      <c r="P306" s="134">
        <v>5</v>
      </c>
      <c r="Q306" s="140">
        <v>0</v>
      </c>
      <c r="R306" s="139">
        <v>5</v>
      </c>
      <c r="S306" s="134">
        <v>230</v>
      </c>
      <c r="T306" s="134">
        <v>5500</v>
      </c>
      <c r="U306" s="134">
        <v>40</v>
      </c>
      <c r="V306" s="140">
        <v>20</v>
      </c>
      <c r="W306" s="15"/>
    </row>
    <row r="307" spans="1:23" ht="17.100000000000001" customHeight="1" x14ac:dyDescent="0.3">
      <c r="A307" s="139">
        <v>10270</v>
      </c>
      <c r="B307" s="135" t="s">
        <v>88</v>
      </c>
      <c r="C307" s="134" t="s">
        <v>402</v>
      </c>
      <c r="D307" s="134">
        <v>3</v>
      </c>
      <c r="E307" s="134" t="b">
        <v>0</v>
      </c>
      <c r="F307" s="134">
        <v>145</v>
      </c>
      <c r="G307" s="134" t="s">
        <v>127</v>
      </c>
      <c r="H307" s="134" t="s">
        <v>112</v>
      </c>
      <c r="I307" s="137">
        <v>0.4</v>
      </c>
      <c r="J307" s="134" t="s">
        <v>172</v>
      </c>
      <c r="K307" s="134" t="s">
        <v>137</v>
      </c>
      <c r="L307" s="134"/>
      <c r="M307" s="134">
        <v>0</v>
      </c>
      <c r="N307" s="134">
        <v>0</v>
      </c>
      <c r="O307" s="134">
        <v>0</v>
      </c>
      <c r="P307" s="134">
        <v>0</v>
      </c>
      <c r="Q307" s="140">
        <v>0</v>
      </c>
      <c r="R307" s="139">
        <v>5</v>
      </c>
      <c r="S307" s="134">
        <v>120</v>
      </c>
      <c r="T307" s="134">
        <v>2000</v>
      </c>
      <c r="U307" s="134">
        <v>15</v>
      </c>
      <c r="V307" s="140">
        <v>5</v>
      </c>
      <c r="W307" s="15"/>
    </row>
    <row r="308" spans="1:23" ht="17.100000000000001" customHeight="1" x14ac:dyDescent="0.3">
      <c r="A308" s="139">
        <v>10271</v>
      </c>
      <c r="B308" s="135" t="s">
        <v>88</v>
      </c>
      <c r="C308" s="134" t="s">
        <v>403</v>
      </c>
      <c r="D308" s="134">
        <v>3</v>
      </c>
      <c r="E308" s="134" t="b">
        <v>0</v>
      </c>
      <c r="F308" s="134">
        <v>160</v>
      </c>
      <c r="G308" s="134" t="s">
        <v>127</v>
      </c>
      <c r="H308" s="134" t="s">
        <v>112</v>
      </c>
      <c r="I308" s="137">
        <v>0.3</v>
      </c>
      <c r="J308" s="134" t="s">
        <v>166</v>
      </c>
      <c r="K308" s="134" t="s">
        <v>129</v>
      </c>
      <c r="L308" s="134"/>
      <c r="M308" s="134">
        <v>0</v>
      </c>
      <c r="N308" s="134">
        <v>0</v>
      </c>
      <c r="O308" s="134">
        <v>1</v>
      </c>
      <c r="P308" s="134">
        <v>1</v>
      </c>
      <c r="Q308" s="140">
        <v>0</v>
      </c>
      <c r="R308" s="139">
        <v>5</v>
      </c>
      <c r="S308" s="134">
        <v>170</v>
      </c>
      <c r="T308" s="134">
        <v>3500</v>
      </c>
      <c r="U308" s="134">
        <v>25</v>
      </c>
      <c r="V308" s="140">
        <v>10</v>
      </c>
      <c r="W308" s="15"/>
    </row>
    <row r="309" spans="1:23" ht="17.100000000000001" customHeight="1" x14ac:dyDescent="0.3">
      <c r="A309" s="139">
        <v>10272</v>
      </c>
      <c r="B309" s="135" t="s">
        <v>88</v>
      </c>
      <c r="C309" s="134" t="s">
        <v>404</v>
      </c>
      <c r="D309" s="134">
        <v>3</v>
      </c>
      <c r="E309" s="134" t="b">
        <v>0</v>
      </c>
      <c r="F309" s="134">
        <v>135</v>
      </c>
      <c r="G309" s="134" t="s">
        <v>127</v>
      </c>
      <c r="H309" s="134" t="s">
        <v>112</v>
      </c>
      <c r="I309" s="137">
        <v>0.4</v>
      </c>
      <c r="J309" s="134" t="s">
        <v>136</v>
      </c>
      <c r="K309" s="134" t="s">
        <v>137</v>
      </c>
      <c r="L309" s="134"/>
      <c r="M309" s="134">
        <v>0</v>
      </c>
      <c r="N309" s="134">
        <v>0</v>
      </c>
      <c r="O309" s="134">
        <v>0</v>
      </c>
      <c r="P309" s="134">
        <v>0</v>
      </c>
      <c r="Q309" s="140">
        <v>0</v>
      </c>
      <c r="R309" s="139">
        <v>5</v>
      </c>
      <c r="S309" s="134">
        <v>120</v>
      </c>
      <c r="T309" s="134">
        <v>2000</v>
      </c>
      <c r="U309" s="134">
        <v>15</v>
      </c>
      <c r="V309" s="140">
        <v>5</v>
      </c>
      <c r="W309" s="15"/>
    </row>
    <row r="310" spans="1:23" ht="17.100000000000001" customHeight="1" x14ac:dyDescent="0.3">
      <c r="A310" s="139">
        <v>10273</v>
      </c>
      <c r="B310" s="135" t="s">
        <v>88</v>
      </c>
      <c r="C310" s="134" t="s">
        <v>405</v>
      </c>
      <c r="D310" s="134">
        <v>3</v>
      </c>
      <c r="E310" s="134" t="b">
        <v>0</v>
      </c>
      <c r="F310" s="134">
        <v>125</v>
      </c>
      <c r="G310" s="134" t="s">
        <v>127</v>
      </c>
      <c r="H310" s="137">
        <v>2</v>
      </c>
      <c r="I310" s="137">
        <v>0.5</v>
      </c>
      <c r="J310" s="134" t="s">
        <v>150</v>
      </c>
      <c r="K310" s="134" t="s">
        <v>137</v>
      </c>
      <c r="L310" s="134"/>
      <c r="M310" s="134">
        <v>0</v>
      </c>
      <c r="N310" s="134">
        <v>0</v>
      </c>
      <c r="O310" s="134">
        <v>0</v>
      </c>
      <c r="P310" s="134">
        <v>0</v>
      </c>
      <c r="Q310" s="140">
        <v>0</v>
      </c>
      <c r="R310" s="139">
        <v>5</v>
      </c>
      <c r="S310" s="134">
        <v>120</v>
      </c>
      <c r="T310" s="134">
        <v>2000</v>
      </c>
      <c r="U310" s="134">
        <v>15</v>
      </c>
      <c r="V310" s="140">
        <v>5</v>
      </c>
      <c r="W310" s="15"/>
    </row>
    <row r="311" spans="1:23" ht="17.100000000000001" customHeight="1" x14ac:dyDescent="0.3">
      <c r="A311" s="139">
        <v>10274</v>
      </c>
      <c r="B311" s="135" t="s">
        <v>88</v>
      </c>
      <c r="C311" s="134" t="s">
        <v>406</v>
      </c>
      <c r="D311" s="134">
        <v>3</v>
      </c>
      <c r="E311" s="134" t="b">
        <v>0</v>
      </c>
      <c r="F311" s="134">
        <v>200</v>
      </c>
      <c r="G311" s="134" t="s">
        <v>127</v>
      </c>
      <c r="H311" s="137">
        <v>3</v>
      </c>
      <c r="I311" s="137">
        <v>0.2</v>
      </c>
      <c r="J311" s="134" t="s">
        <v>223</v>
      </c>
      <c r="K311" s="134" t="s">
        <v>129</v>
      </c>
      <c r="L311" s="134"/>
      <c r="M311" s="134">
        <v>0</v>
      </c>
      <c r="N311" s="134">
        <v>0</v>
      </c>
      <c r="O311" s="134">
        <v>5</v>
      </c>
      <c r="P311" s="134">
        <v>6</v>
      </c>
      <c r="Q311" s="140">
        <v>0</v>
      </c>
      <c r="R311" s="139">
        <v>5</v>
      </c>
      <c r="S311" s="134">
        <v>230</v>
      </c>
      <c r="T311" s="134">
        <v>5500</v>
      </c>
      <c r="U311" s="134">
        <v>40</v>
      </c>
      <c r="V311" s="140">
        <v>20</v>
      </c>
      <c r="W311" s="15"/>
    </row>
    <row r="312" spans="1:23" ht="17.100000000000001" customHeight="1" x14ac:dyDescent="0.3">
      <c r="A312" s="139">
        <v>10275</v>
      </c>
      <c r="B312" s="135" t="s">
        <v>88</v>
      </c>
      <c r="C312" s="134" t="s">
        <v>407</v>
      </c>
      <c r="D312" s="134">
        <v>3</v>
      </c>
      <c r="E312" s="134" t="b">
        <v>0</v>
      </c>
      <c r="F312" s="134">
        <v>150</v>
      </c>
      <c r="G312" s="134" t="s">
        <v>127</v>
      </c>
      <c r="H312" s="134" t="s">
        <v>112</v>
      </c>
      <c r="I312" s="137">
        <v>0.4</v>
      </c>
      <c r="J312" s="134" t="s">
        <v>207</v>
      </c>
      <c r="K312" s="134" t="s">
        <v>137</v>
      </c>
      <c r="L312" s="134"/>
      <c r="M312" s="134">
        <v>0</v>
      </c>
      <c r="N312" s="134">
        <v>0</v>
      </c>
      <c r="O312" s="134">
        <v>0</v>
      </c>
      <c r="P312" s="134">
        <v>1</v>
      </c>
      <c r="Q312" s="140">
        <v>0</v>
      </c>
      <c r="R312" s="139">
        <v>5</v>
      </c>
      <c r="S312" s="134">
        <v>120</v>
      </c>
      <c r="T312" s="134">
        <v>2000</v>
      </c>
      <c r="U312" s="134">
        <v>15</v>
      </c>
      <c r="V312" s="140">
        <v>5</v>
      </c>
      <c r="W312" s="15"/>
    </row>
    <row r="313" spans="1:23" ht="17.100000000000001" customHeight="1" x14ac:dyDescent="0.3">
      <c r="A313" s="139">
        <v>10276</v>
      </c>
      <c r="B313" s="135" t="s">
        <v>88</v>
      </c>
      <c r="C313" s="134" t="s">
        <v>408</v>
      </c>
      <c r="D313" s="134">
        <v>3</v>
      </c>
      <c r="E313" s="134" t="b">
        <v>0</v>
      </c>
      <c r="F313" s="134">
        <v>170</v>
      </c>
      <c r="G313" s="134" t="s">
        <v>127</v>
      </c>
      <c r="H313" s="137">
        <v>3</v>
      </c>
      <c r="I313" s="137">
        <v>0.3</v>
      </c>
      <c r="J313" s="134" t="s">
        <v>148</v>
      </c>
      <c r="K313" s="134" t="s">
        <v>129</v>
      </c>
      <c r="L313" s="134"/>
      <c r="M313" s="134">
        <v>0</v>
      </c>
      <c r="N313" s="134">
        <v>0</v>
      </c>
      <c r="O313" s="134">
        <v>2</v>
      </c>
      <c r="P313" s="134">
        <v>2</v>
      </c>
      <c r="Q313" s="140">
        <v>0</v>
      </c>
      <c r="R313" s="139">
        <v>5</v>
      </c>
      <c r="S313" s="134">
        <v>170</v>
      </c>
      <c r="T313" s="134">
        <v>3500</v>
      </c>
      <c r="U313" s="134">
        <v>25</v>
      </c>
      <c r="V313" s="140">
        <v>10</v>
      </c>
      <c r="W313" s="15"/>
    </row>
    <row r="314" spans="1:23" ht="17.100000000000001" customHeight="1" x14ac:dyDescent="0.3">
      <c r="A314" s="139">
        <v>10277</v>
      </c>
      <c r="B314" s="135" t="s">
        <v>88</v>
      </c>
      <c r="C314" s="134" t="s">
        <v>409</v>
      </c>
      <c r="D314" s="134">
        <v>3</v>
      </c>
      <c r="E314" s="134" t="b">
        <v>0</v>
      </c>
      <c r="F314" s="134">
        <v>155</v>
      </c>
      <c r="G314" s="134" t="s">
        <v>127</v>
      </c>
      <c r="H314" s="134" t="s">
        <v>112</v>
      </c>
      <c r="I314" s="137">
        <v>0.4</v>
      </c>
      <c r="J314" s="134" t="s">
        <v>264</v>
      </c>
      <c r="K314" s="134" t="s">
        <v>129</v>
      </c>
      <c r="L314" s="134"/>
      <c r="M314" s="134">
        <v>0</v>
      </c>
      <c r="N314" s="134">
        <v>0</v>
      </c>
      <c r="O314" s="134">
        <v>0</v>
      </c>
      <c r="P314" s="134">
        <v>1</v>
      </c>
      <c r="Q314" s="140">
        <v>0</v>
      </c>
      <c r="R314" s="139">
        <v>5</v>
      </c>
      <c r="S314" s="134">
        <v>170</v>
      </c>
      <c r="T314" s="134">
        <v>3500</v>
      </c>
      <c r="U314" s="134">
        <v>25</v>
      </c>
      <c r="V314" s="140">
        <v>10</v>
      </c>
      <c r="W314" s="15"/>
    </row>
    <row r="315" spans="1:23" ht="17.100000000000001" customHeight="1" x14ac:dyDescent="0.3">
      <c r="A315" s="139">
        <v>10278</v>
      </c>
      <c r="B315" s="135" t="s">
        <v>88</v>
      </c>
      <c r="C315" s="134" t="s">
        <v>410</v>
      </c>
      <c r="D315" s="134">
        <v>3</v>
      </c>
      <c r="E315" s="134" t="b">
        <v>0</v>
      </c>
      <c r="F315" s="134">
        <v>165</v>
      </c>
      <c r="G315" s="134" t="s">
        <v>127</v>
      </c>
      <c r="H315" s="137">
        <v>3</v>
      </c>
      <c r="I315" s="137">
        <v>0.3</v>
      </c>
      <c r="J315" s="134" t="s">
        <v>252</v>
      </c>
      <c r="K315" s="134" t="s">
        <v>129</v>
      </c>
      <c r="L315" s="134"/>
      <c r="M315" s="134">
        <v>0</v>
      </c>
      <c r="N315" s="134">
        <v>0</v>
      </c>
      <c r="O315" s="134">
        <v>1</v>
      </c>
      <c r="P315" s="134">
        <v>2</v>
      </c>
      <c r="Q315" s="140">
        <v>0</v>
      </c>
      <c r="R315" s="139">
        <v>5</v>
      </c>
      <c r="S315" s="134">
        <v>170</v>
      </c>
      <c r="T315" s="134">
        <v>3500</v>
      </c>
      <c r="U315" s="134">
        <v>25</v>
      </c>
      <c r="V315" s="140">
        <v>10</v>
      </c>
      <c r="W315" s="15"/>
    </row>
    <row r="316" spans="1:23" ht="17.100000000000001" customHeight="1" x14ac:dyDescent="0.3">
      <c r="A316" s="139">
        <v>10279</v>
      </c>
      <c r="B316" s="135" t="s">
        <v>88</v>
      </c>
      <c r="C316" s="134" t="s">
        <v>411</v>
      </c>
      <c r="D316" s="134">
        <v>3</v>
      </c>
      <c r="E316" s="134" t="b">
        <v>0</v>
      </c>
      <c r="F316" s="134">
        <v>155</v>
      </c>
      <c r="G316" s="134" t="s">
        <v>127</v>
      </c>
      <c r="H316" s="134" t="s">
        <v>112</v>
      </c>
      <c r="I316" s="137">
        <v>0.4</v>
      </c>
      <c r="J316" s="134" t="s">
        <v>264</v>
      </c>
      <c r="K316" s="134" t="s">
        <v>129</v>
      </c>
      <c r="L316" s="134"/>
      <c r="M316" s="134">
        <v>0</v>
      </c>
      <c r="N316" s="134">
        <v>0</v>
      </c>
      <c r="O316" s="134">
        <v>0</v>
      </c>
      <c r="P316" s="134">
        <v>1</v>
      </c>
      <c r="Q316" s="140">
        <v>0</v>
      </c>
      <c r="R316" s="139">
        <v>5</v>
      </c>
      <c r="S316" s="134">
        <v>170</v>
      </c>
      <c r="T316" s="134">
        <v>3500</v>
      </c>
      <c r="U316" s="134">
        <v>25</v>
      </c>
      <c r="V316" s="140">
        <v>10</v>
      </c>
      <c r="W316" s="15"/>
    </row>
    <row r="317" spans="1:23" ht="17.100000000000001" customHeight="1" x14ac:dyDescent="0.3">
      <c r="A317" s="139">
        <v>10280</v>
      </c>
      <c r="B317" s="135" t="s">
        <v>88</v>
      </c>
      <c r="C317" s="134" t="s">
        <v>412</v>
      </c>
      <c r="D317" s="134">
        <v>3</v>
      </c>
      <c r="E317" s="134" t="b">
        <v>0</v>
      </c>
      <c r="F317" s="134">
        <v>180</v>
      </c>
      <c r="G317" s="134" t="s">
        <v>127</v>
      </c>
      <c r="H317" s="137">
        <v>3</v>
      </c>
      <c r="I317" s="137">
        <v>0.3</v>
      </c>
      <c r="J317" s="134" t="s">
        <v>189</v>
      </c>
      <c r="K317" s="134" t="s">
        <v>129</v>
      </c>
      <c r="L317" s="134"/>
      <c r="M317" s="134">
        <v>0</v>
      </c>
      <c r="N317" s="134">
        <v>0</v>
      </c>
      <c r="O317" s="134">
        <v>3</v>
      </c>
      <c r="P317" s="134">
        <v>3</v>
      </c>
      <c r="Q317" s="140">
        <v>0</v>
      </c>
      <c r="R317" s="139">
        <v>5</v>
      </c>
      <c r="S317" s="134">
        <v>230</v>
      </c>
      <c r="T317" s="134">
        <v>5500</v>
      </c>
      <c r="U317" s="134">
        <v>40</v>
      </c>
      <c r="V317" s="140">
        <v>20</v>
      </c>
      <c r="W317" s="15"/>
    </row>
    <row r="318" spans="1:23" ht="17.100000000000001" customHeight="1" x14ac:dyDescent="0.3">
      <c r="A318" s="139">
        <v>10281</v>
      </c>
      <c r="B318" s="135" t="s">
        <v>88</v>
      </c>
      <c r="C318" s="134" t="s">
        <v>413</v>
      </c>
      <c r="D318" s="134">
        <v>3</v>
      </c>
      <c r="E318" s="134" t="b">
        <v>0</v>
      </c>
      <c r="F318" s="134">
        <v>170</v>
      </c>
      <c r="G318" s="134" t="s">
        <v>127</v>
      </c>
      <c r="H318" s="137">
        <v>3</v>
      </c>
      <c r="I318" s="137">
        <v>0.3</v>
      </c>
      <c r="J318" s="134" t="s">
        <v>148</v>
      </c>
      <c r="K318" s="134" t="s">
        <v>129</v>
      </c>
      <c r="L318" s="134"/>
      <c r="M318" s="134">
        <v>0</v>
      </c>
      <c r="N318" s="134">
        <v>0</v>
      </c>
      <c r="O318" s="134">
        <v>2</v>
      </c>
      <c r="P318" s="134">
        <v>2</v>
      </c>
      <c r="Q318" s="140">
        <v>0</v>
      </c>
      <c r="R318" s="139">
        <v>5</v>
      </c>
      <c r="S318" s="134">
        <v>170</v>
      </c>
      <c r="T318" s="134">
        <v>3500</v>
      </c>
      <c r="U318" s="134">
        <v>25</v>
      </c>
      <c r="V318" s="140">
        <v>10</v>
      </c>
      <c r="W318" s="15"/>
    </row>
    <row r="319" spans="1:23" ht="17.100000000000001" customHeight="1" x14ac:dyDescent="0.3">
      <c r="A319" s="139">
        <v>10282</v>
      </c>
      <c r="B319" s="135" t="s">
        <v>88</v>
      </c>
      <c r="C319" s="134" t="s">
        <v>414</v>
      </c>
      <c r="D319" s="134">
        <v>3</v>
      </c>
      <c r="E319" s="134" t="b">
        <v>0</v>
      </c>
      <c r="F319" s="134">
        <v>100</v>
      </c>
      <c r="G319" s="134" t="s">
        <v>127</v>
      </c>
      <c r="H319" s="137">
        <v>2</v>
      </c>
      <c r="I319" s="137">
        <v>0.5</v>
      </c>
      <c r="J319" s="134" t="s">
        <v>146</v>
      </c>
      <c r="K319" s="134" t="s">
        <v>137</v>
      </c>
      <c r="L319" s="134"/>
      <c r="M319" s="134">
        <v>0</v>
      </c>
      <c r="N319" s="134">
        <v>0</v>
      </c>
      <c r="O319" s="134">
        <v>0</v>
      </c>
      <c r="P319" s="134">
        <v>0</v>
      </c>
      <c r="Q319" s="140">
        <v>0</v>
      </c>
      <c r="R319" s="139">
        <v>5</v>
      </c>
      <c r="S319" s="134">
        <v>80</v>
      </c>
      <c r="T319" s="134">
        <v>1000</v>
      </c>
      <c r="U319" s="134">
        <v>10</v>
      </c>
      <c r="V319" s="140">
        <v>0</v>
      </c>
      <c r="W319" s="15"/>
    </row>
    <row r="320" spans="1:23" ht="17.100000000000001" customHeight="1" x14ac:dyDescent="0.3">
      <c r="A320" s="139">
        <v>10283</v>
      </c>
      <c r="B320" s="135" t="s">
        <v>88</v>
      </c>
      <c r="C320" s="134" t="s">
        <v>415</v>
      </c>
      <c r="D320" s="134">
        <v>3</v>
      </c>
      <c r="E320" s="134" t="b">
        <v>0</v>
      </c>
      <c r="F320" s="134">
        <v>110</v>
      </c>
      <c r="G320" s="134" t="s">
        <v>127</v>
      </c>
      <c r="H320" s="137">
        <v>2</v>
      </c>
      <c r="I320" s="137">
        <v>0.5</v>
      </c>
      <c r="J320" s="134" t="s">
        <v>160</v>
      </c>
      <c r="K320" s="134" t="s">
        <v>137</v>
      </c>
      <c r="L320" s="134"/>
      <c r="M320" s="134">
        <v>0</v>
      </c>
      <c r="N320" s="134">
        <v>0</v>
      </c>
      <c r="O320" s="134">
        <v>0</v>
      </c>
      <c r="P320" s="134">
        <v>0</v>
      </c>
      <c r="Q320" s="140">
        <v>0</v>
      </c>
      <c r="R320" s="139">
        <v>5</v>
      </c>
      <c r="S320" s="134">
        <v>80</v>
      </c>
      <c r="T320" s="134">
        <v>1000</v>
      </c>
      <c r="U320" s="134">
        <v>10</v>
      </c>
      <c r="V320" s="140">
        <v>0</v>
      </c>
      <c r="W320" s="15"/>
    </row>
    <row r="321" spans="1:23" ht="17.100000000000001" customHeight="1" x14ac:dyDescent="0.3">
      <c r="A321" s="139">
        <v>10284</v>
      </c>
      <c r="B321" s="135" t="s">
        <v>88</v>
      </c>
      <c r="C321" s="134" t="s">
        <v>416</v>
      </c>
      <c r="D321" s="134">
        <v>3</v>
      </c>
      <c r="E321" s="134" t="b">
        <v>0</v>
      </c>
      <c r="F321" s="134">
        <v>130</v>
      </c>
      <c r="G321" s="134" t="s">
        <v>127</v>
      </c>
      <c r="H321" s="134" t="s">
        <v>112</v>
      </c>
      <c r="I321" s="137">
        <v>0.4</v>
      </c>
      <c r="J321" s="134" t="s">
        <v>139</v>
      </c>
      <c r="K321" s="134" t="s">
        <v>137</v>
      </c>
      <c r="L321" s="134"/>
      <c r="M321" s="134">
        <v>0</v>
      </c>
      <c r="N321" s="134">
        <v>0</v>
      </c>
      <c r="O321" s="134">
        <v>0</v>
      </c>
      <c r="P321" s="134">
        <v>0</v>
      </c>
      <c r="Q321" s="140">
        <v>0</v>
      </c>
      <c r="R321" s="139">
        <v>5</v>
      </c>
      <c r="S321" s="134">
        <v>120</v>
      </c>
      <c r="T321" s="134">
        <v>2000</v>
      </c>
      <c r="U321" s="134">
        <v>15</v>
      </c>
      <c r="V321" s="140">
        <v>5</v>
      </c>
      <c r="W321" s="15"/>
    </row>
    <row r="322" spans="1:23" ht="17.100000000000001" customHeight="1" x14ac:dyDescent="0.3">
      <c r="A322" s="139">
        <v>10285</v>
      </c>
      <c r="B322" s="135" t="s">
        <v>88</v>
      </c>
      <c r="C322" s="134" t="s">
        <v>417</v>
      </c>
      <c r="D322" s="134">
        <v>3</v>
      </c>
      <c r="E322" s="134" t="b">
        <v>0</v>
      </c>
      <c r="F322" s="134">
        <v>120</v>
      </c>
      <c r="G322" s="134" t="s">
        <v>127</v>
      </c>
      <c r="H322" s="137">
        <v>2</v>
      </c>
      <c r="I322" s="137">
        <v>0.5</v>
      </c>
      <c r="J322" s="134" t="s">
        <v>178</v>
      </c>
      <c r="K322" s="134" t="s">
        <v>137</v>
      </c>
      <c r="L322" s="134"/>
      <c r="M322" s="134">
        <v>0</v>
      </c>
      <c r="N322" s="134">
        <v>0</v>
      </c>
      <c r="O322" s="134">
        <v>0</v>
      </c>
      <c r="P322" s="134">
        <v>0</v>
      </c>
      <c r="Q322" s="140">
        <v>0</v>
      </c>
      <c r="R322" s="139">
        <v>5</v>
      </c>
      <c r="S322" s="134">
        <v>120</v>
      </c>
      <c r="T322" s="134">
        <v>2000</v>
      </c>
      <c r="U322" s="134">
        <v>15</v>
      </c>
      <c r="V322" s="140">
        <v>5</v>
      </c>
      <c r="W322" s="15"/>
    </row>
    <row r="323" spans="1:23" ht="17.100000000000001" customHeight="1" x14ac:dyDescent="0.3">
      <c r="A323" s="139">
        <v>10286</v>
      </c>
      <c r="B323" s="135" t="s">
        <v>88</v>
      </c>
      <c r="C323" s="134" t="s">
        <v>418</v>
      </c>
      <c r="D323" s="134">
        <v>3</v>
      </c>
      <c r="E323" s="134" t="b">
        <v>0</v>
      </c>
      <c r="F323" s="134">
        <v>170</v>
      </c>
      <c r="G323" s="134" t="s">
        <v>127</v>
      </c>
      <c r="H323" s="137">
        <v>3</v>
      </c>
      <c r="I323" s="137">
        <v>0.3</v>
      </c>
      <c r="J323" s="134" t="s">
        <v>148</v>
      </c>
      <c r="K323" s="134" t="s">
        <v>129</v>
      </c>
      <c r="L323" s="134"/>
      <c r="M323" s="134">
        <v>0</v>
      </c>
      <c r="N323" s="134">
        <v>0</v>
      </c>
      <c r="O323" s="134">
        <v>2</v>
      </c>
      <c r="P323" s="134">
        <v>2</v>
      </c>
      <c r="Q323" s="140">
        <v>0</v>
      </c>
      <c r="R323" s="139">
        <v>5</v>
      </c>
      <c r="S323" s="134">
        <v>170</v>
      </c>
      <c r="T323" s="134">
        <v>3500</v>
      </c>
      <c r="U323" s="134">
        <v>25</v>
      </c>
      <c r="V323" s="140">
        <v>10</v>
      </c>
      <c r="W323" s="15"/>
    </row>
    <row r="324" spans="1:23" ht="17.100000000000001" customHeight="1" x14ac:dyDescent="0.3">
      <c r="A324" s="139">
        <v>10287</v>
      </c>
      <c r="B324" s="135" t="s">
        <v>88</v>
      </c>
      <c r="C324" s="134" t="s">
        <v>419</v>
      </c>
      <c r="D324" s="134">
        <v>3</v>
      </c>
      <c r="E324" s="134" t="b">
        <v>0</v>
      </c>
      <c r="F324" s="134">
        <v>185</v>
      </c>
      <c r="G324" s="134" t="s">
        <v>127</v>
      </c>
      <c r="H324" s="137">
        <v>3</v>
      </c>
      <c r="I324" s="137">
        <v>0.2</v>
      </c>
      <c r="J324" s="134" t="s">
        <v>142</v>
      </c>
      <c r="K324" s="134" t="s">
        <v>129</v>
      </c>
      <c r="L324" s="134"/>
      <c r="M324" s="134">
        <v>0</v>
      </c>
      <c r="N324" s="134">
        <v>0</v>
      </c>
      <c r="O324" s="134">
        <v>3</v>
      </c>
      <c r="P324" s="134">
        <v>4</v>
      </c>
      <c r="Q324" s="140">
        <v>0</v>
      </c>
      <c r="R324" s="139">
        <v>5</v>
      </c>
      <c r="S324" s="134">
        <v>230</v>
      </c>
      <c r="T324" s="134">
        <v>5500</v>
      </c>
      <c r="U324" s="134">
        <v>40</v>
      </c>
      <c r="V324" s="140">
        <v>20</v>
      </c>
      <c r="W324" s="15"/>
    </row>
    <row r="325" spans="1:23" ht="17.100000000000001" customHeight="1" x14ac:dyDescent="0.3">
      <c r="A325" s="139">
        <v>10288</v>
      </c>
      <c r="B325" s="135" t="s">
        <v>88</v>
      </c>
      <c r="C325" s="134" t="s">
        <v>420</v>
      </c>
      <c r="D325" s="134">
        <v>3</v>
      </c>
      <c r="E325" s="134" t="b">
        <v>0</v>
      </c>
      <c r="F325" s="134">
        <v>140</v>
      </c>
      <c r="G325" s="134" t="s">
        <v>127</v>
      </c>
      <c r="H325" s="134" t="s">
        <v>112</v>
      </c>
      <c r="I325" s="137">
        <v>0.4</v>
      </c>
      <c r="J325" s="134" t="s">
        <v>155</v>
      </c>
      <c r="K325" s="134" t="s">
        <v>137</v>
      </c>
      <c r="L325" s="134"/>
      <c r="M325" s="134">
        <v>0</v>
      </c>
      <c r="N325" s="134">
        <v>0</v>
      </c>
      <c r="O325" s="134">
        <v>0</v>
      </c>
      <c r="P325" s="134">
        <v>0</v>
      </c>
      <c r="Q325" s="140">
        <v>0</v>
      </c>
      <c r="R325" s="139">
        <v>5</v>
      </c>
      <c r="S325" s="134">
        <v>120</v>
      </c>
      <c r="T325" s="134">
        <v>2000</v>
      </c>
      <c r="U325" s="134">
        <v>15</v>
      </c>
      <c r="V325" s="140">
        <v>5</v>
      </c>
      <c r="W325" s="15"/>
    </row>
    <row r="326" spans="1:23" ht="17.100000000000001" customHeight="1" x14ac:dyDescent="0.3">
      <c r="A326" s="139">
        <v>10289</v>
      </c>
      <c r="B326" s="135" t="s">
        <v>88</v>
      </c>
      <c r="C326" s="134" t="s">
        <v>421</v>
      </c>
      <c r="D326" s="134">
        <v>3</v>
      </c>
      <c r="E326" s="134" t="b">
        <v>0</v>
      </c>
      <c r="F326" s="134">
        <v>100</v>
      </c>
      <c r="G326" s="134" t="s">
        <v>127</v>
      </c>
      <c r="H326" s="137">
        <v>2</v>
      </c>
      <c r="I326" s="137">
        <v>0.5</v>
      </c>
      <c r="J326" s="134" t="s">
        <v>146</v>
      </c>
      <c r="K326" s="134" t="s">
        <v>137</v>
      </c>
      <c r="L326" s="134"/>
      <c r="M326" s="134">
        <v>0</v>
      </c>
      <c r="N326" s="134">
        <v>0</v>
      </c>
      <c r="O326" s="134">
        <v>0</v>
      </c>
      <c r="P326" s="134">
        <v>0</v>
      </c>
      <c r="Q326" s="140">
        <v>0</v>
      </c>
      <c r="R326" s="139">
        <v>5</v>
      </c>
      <c r="S326" s="134">
        <v>80</v>
      </c>
      <c r="T326" s="134">
        <v>1000</v>
      </c>
      <c r="U326" s="134">
        <v>10</v>
      </c>
      <c r="V326" s="140">
        <v>0</v>
      </c>
      <c r="W326" s="15"/>
    </row>
    <row r="327" spans="1:23" ht="17.100000000000001" customHeight="1" x14ac:dyDescent="0.3">
      <c r="A327" s="139">
        <v>10290</v>
      </c>
      <c r="B327" s="135" t="s">
        <v>88</v>
      </c>
      <c r="C327" s="134" t="s">
        <v>422</v>
      </c>
      <c r="D327" s="134">
        <v>3</v>
      </c>
      <c r="E327" s="134" t="b">
        <v>0</v>
      </c>
      <c r="F327" s="134">
        <v>175</v>
      </c>
      <c r="G327" s="134" t="s">
        <v>127</v>
      </c>
      <c r="H327" s="137">
        <v>3</v>
      </c>
      <c r="I327" s="137">
        <v>0.3</v>
      </c>
      <c r="J327" s="134" t="s">
        <v>131</v>
      </c>
      <c r="K327" s="134" t="s">
        <v>129</v>
      </c>
      <c r="L327" s="134"/>
      <c r="M327" s="134">
        <v>0</v>
      </c>
      <c r="N327" s="134">
        <v>0</v>
      </c>
      <c r="O327" s="134">
        <v>2</v>
      </c>
      <c r="P327" s="134">
        <v>3</v>
      </c>
      <c r="Q327" s="140">
        <v>0</v>
      </c>
      <c r="R327" s="139">
        <v>5</v>
      </c>
      <c r="S327" s="134">
        <v>230</v>
      </c>
      <c r="T327" s="134">
        <v>5500</v>
      </c>
      <c r="U327" s="134">
        <v>40</v>
      </c>
      <c r="V327" s="140">
        <v>20</v>
      </c>
      <c r="W327" s="15"/>
    </row>
    <row r="328" spans="1:23" ht="17.100000000000001" customHeight="1" x14ac:dyDescent="0.3">
      <c r="A328" s="139">
        <v>10291</v>
      </c>
      <c r="B328" s="135" t="s">
        <v>88</v>
      </c>
      <c r="C328" s="134" t="s">
        <v>423</v>
      </c>
      <c r="D328" s="134">
        <v>3</v>
      </c>
      <c r="E328" s="134" t="b">
        <v>0</v>
      </c>
      <c r="F328" s="134">
        <v>180</v>
      </c>
      <c r="G328" s="134" t="s">
        <v>127</v>
      </c>
      <c r="H328" s="137">
        <v>3</v>
      </c>
      <c r="I328" s="137">
        <v>0.2</v>
      </c>
      <c r="J328" s="134" t="s">
        <v>189</v>
      </c>
      <c r="K328" s="134" t="s">
        <v>129</v>
      </c>
      <c r="L328" s="134"/>
      <c r="M328" s="134">
        <v>0</v>
      </c>
      <c r="N328" s="134">
        <v>0</v>
      </c>
      <c r="O328" s="134">
        <v>3</v>
      </c>
      <c r="P328" s="134">
        <v>3</v>
      </c>
      <c r="Q328" s="140">
        <v>0</v>
      </c>
      <c r="R328" s="139">
        <v>5</v>
      </c>
      <c r="S328" s="134">
        <v>230</v>
      </c>
      <c r="T328" s="134">
        <v>5500</v>
      </c>
      <c r="U328" s="134">
        <v>40</v>
      </c>
      <c r="V328" s="140">
        <v>20</v>
      </c>
      <c r="W328" s="15"/>
    </row>
    <row r="329" spans="1:23" ht="17.100000000000001" customHeight="1" x14ac:dyDescent="0.3">
      <c r="A329" s="139">
        <v>10292</v>
      </c>
      <c r="B329" s="135" t="s">
        <v>88</v>
      </c>
      <c r="C329" s="134" t="s">
        <v>424</v>
      </c>
      <c r="D329" s="134">
        <v>3</v>
      </c>
      <c r="E329" s="134" t="b">
        <v>0</v>
      </c>
      <c r="F329" s="134">
        <v>140</v>
      </c>
      <c r="G329" s="134" t="s">
        <v>127</v>
      </c>
      <c r="H329" s="134" t="s">
        <v>112</v>
      </c>
      <c r="I329" s="137">
        <v>0.4</v>
      </c>
      <c r="J329" s="134" t="s">
        <v>155</v>
      </c>
      <c r="K329" s="134" t="s">
        <v>137</v>
      </c>
      <c r="L329" s="134"/>
      <c r="M329" s="134">
        <v>0</v>
      </c>
      <c r="N329" s="134">
        <v>0</v>
      </c>
      <c r="O329" s="134">
        <v>0</v>
      </c>
      <c r="P329" s="134">
        <v>0</v>
      </c>
      <c r="Q329" s="140">
        <v>0</v>
      </c>
      <c r="R329" s="139">
        <v>5</v>
      </c>
      <c r="S329" s="134">
        <v>120</v>
      </c>
      <c r="T329" s="134">
        <v>2000</v>
      </c>
      <c r="U329" s="134">
        <v>15</v>
      </c>
      <c r="V329" s="140">
        <v>5</v>
      </c>
      <c r="W329" s="15"/>
    </row>
    <row r="330" spans="1:23" ht="17.100000000000001" customHeight="1" x14ac:dyDescent="0.3">
      <c r="A330" s="139">
        <v>10293</v>
      </c>
      <c r="B330" s="135" t="s">
        <v>88</v>
      </c>
      <c r="C330" s="134" t="s">
        <v>425</v>
      </c>
      <c r="D330" s="134">
        <v>3</v>
      </c>
      <c r="E330" s="134" t="b">
        <v>0</v>
      </c>
      <c r="F330" s="134">
        <v>145</v>
      </c>
      <c r="G330" s="134" t="s">
        <v>127</v>
      </c>
      <c r="H330" s="134" t="s">
        <v>112</v>
      </c>
      <c r="I330" s="137">
        <v>0.4</v>
      </c>
      <c r="J330" s="134" t="s">
        <v>172</v>
      </c>
      <c r="K330" s="134" t="s">
        <v>137</v>
      </c>
      <c r="L330" s="134"/>
      <c r="M330" s="134">
        <v>0</v>
      </c>
      <c r="N330" s="134">
        <v>0</v>
      </c>
      <c r="O330" s="134">
        <v>0</v>
      </c>
      <c r="P330" s="134">
        <v>0</v>
      </c>
      <c r="Q330" s="140">
        <v>0</v>
      </c>
      <c r="R330" s="139">
        <v>5</v>
      </c>
      <c r="S330" s="134">
        <v>120</v>
      </c>
      <c r="T330" s="134">
        <v>2000</v>
      </c>
      <c r="U330" s="134">
        <v>15</v>
      </c>
      <c r="V330" s="140">
        <v>5</v>
      </c>
      <c r="W330" s="15"/>
    </row>
    <row r="331" spans="1:23" ht="17.100000000000001" customHeight="1" x14ac:dyDescent="0.3">
      <c r="A331" s="139">
        <v>10294</v>
      </c>
      <c r="B331" s="135" t="s">
        <v>88</v>
      </c>
      <c r="C331" s="134" t="s">
        <v>426</v>
      </c>
      <c r="D331" s="134">
        <v>3</v>
      </c>
      <c r="E331" s="134" t="b">
        <v>0</v>
      </c>
      <c r="F331" s="134">
        <v>200</v>
      </c>
      <c r="G331" s="134" t="s">
        <v>127</v>
      </c>
      <c r="H331" s="137">
        <v>3</v>
      </c>
      <c r="I331" s="137">
        <v>0.2</v>
      </c>
      <c r="J331" s="134" t="s">
        <v>223</v>
      </c>
      <c r="K331" s="134" t="s">
        <v>129</v>
      </c>
      <c r="L331" s="134"/>
      <c r="M331" s="134">
        <v>0</v>
      </c>
      <c r="N331" s="134">
        <v>0</v>
      </c>
      <c r="O331" s="134">
        <v>5</v>
      </c>
      <c r="P331" s="134">
        <v>6</v>
      </c>
      <c r="Q331" s="140">
        <v>0</v>
      </c>
      <c r="R331" s="139">
        <v>5</v>
      </c>
      <c r="S331" s="134">
        <v>230</v>
      </c>
      <c r="T331" s="134">
        <v>5500</v>
      </c>
      <c r="U331" s="134">
        <v>40</v>
      </c>
      <c r="V331" s="140">
        <v>20</v>
      </c>
      <c r="W331" s="15"/>
    </row>
    <row r="332" spans="1:23" ht="17.100000000000001" customHeight="1" x14ac:dyDescent="0.3">
      <c r="A332" s="139">
        <v>10295</v>
      </c>
      <c r="B332" s="135" t="s">
        <v>88</v>
      </c>
      <c r="C332" s="134" t="s">
        <v>427</v>
      </c>
      <c r="D332" s="134">
        <v>3</v>
      </c>
      <c r="E332" s="134" t="b">
        <v>0</v>
      </c>
      <c r="F332" s="134">
        <v>175</v>
      </c>
      <c r="G332" s="134" t="s">
        <v>127</v>
      </c>
      <c r="H332" s="137">
        <v>3</v>
      </c>
      <c r="I332" s="137">
        <v>0.3</v>
      </c>
      <c r="J332" s="134" t="s">
        <v>131</v>
      </c>
      <c r="K332" s="134" t="s">
        <v>129</v>
      </c>
      <c r="L332" s="134"/>
      <c r="M332" s="134">
        <v>0</v>
      </c>
      <c r="N332" s="134">
        <v>0</v>
      </c>
      <c r="O332" s="134">
        <v>2</v>
      </c>
      <c r="P332" s="134">
        <v>3</v>
      </c>
      <c r="Q332" s="140">
        <v>0</v>
      </c>
      <c r="R332" s="139">
        <v>5</v>
      </c>
      <c r="S332" s="134">
        <v>230</v>
      </c>
      <c r="T332" s="134">
        <v>5500</v>
      </c>
      <c r="U332" s="134">
        <v>40</v>
      </c>
      <c r="V332" s="140">
        <v>20</v>
      </c>
      <c r="W332" s="15"/>
    </row>
    <row r="333" spans="1:23" ht="17.100000000000001" customHeight="1" x14ac:dyDescent="0.3">
      <c r="A333" s="139">
        <v>10296</v>
      </c>
      <c r="B333" s="135" t="s">
        <v>88</v>
      </c>
      <c r="C333" s="134" t="s">
        <v>428</v>
      </c>
      <c r="D333" s="134">
        <v>3</v>
      </c>
      <c r="E333" s="134" t="b">
        <v>0</v>
      </c>
      <c r="F333" s="134">
        <v>90</v>
      </c>
      <c r="G333" s="134" t="s">
        <v>46</v>
      </c>
      <c r="H333" s="137">
        <v>2</v>
      </c>
      <c r="I333" s="137">
        <v>0.6</v>
      </c>
      <c r="J333" s="134" t="s">
        <v>104</v>
      </c>
      <c r="K333" s="134" t="s">
        <v>102</v>
      </c>
      <c r="L333" s="134"/>
      <c r="M333" s="134">
        <v>0</v>
      </c>
      <c r="N333" s="134">
        <v>0</v>
      </c>
      <c r="O333" s="134">
        <v>0</v>
      </c>
      <c r="P333" s="134">
        <v>0</v>
      </c>
      <c r="Q333" s="140">
        <v>0</v>
      </c>
      <c r="R333" s="139">
        <v>5</v>
      </c>
      <c r="S333" s="134">
        <v>80</v>
      </c>
      <c r="T333" s="134">
        <v>1000</v>
      </c>
      <c r="U333" s="134">
        <v>10</v>
      </c>
      <c r="V333" s="140">
        <v>0</v>
      </c>
      <c r="W333" s="15"/>
    </row>
    <row r="334" spans="1:23" ht="17.100000000000001" customHeight="1" x14ac:dyDescent="0.3">
      <c r="A334" s="139">
        <v>10297</v>
      </c>
      <c r="B334" s="135" t="s">
        <v>88</v>
      </c>
      <c r="C334" s="134" t="s">
        <v>429</v>
      </c>
      <c r="D334" s="134">
        <v>3</v>
      </c>
      <c r="E334" s="134" t="b">
        <v>0</v>
      </c>
      <c r="F334" s="134">
        <v>140</v>
      </c>
      <c r="G334" s="134" t="s">
        <v>127</v>
      </c>
      <c r="H334" s="134" t="s">
        <v>112</v>
      </c>
      <c r="I334" s="137">
        <v>0.4</v>
      </c>
      <c r="J334" s="134" t="s">
        <v>155</v>
      </c>
      <c r="K334" s="134" t="s">
        <v>137</v>
      </c>
      <c r="L334" s="134"/>
      <c r="M334" s="134">
        <v>0</v>
      </c>
      <c r="N334" s="134">
        <v>0</v>
      </c>
      <c r="O334" s="134">
        <v>0</v>
      </c>
      <c r="P334" s="134">
        <v>0</v>
      </c>
      <c r="Q334" s="140">
        <v>0</v>
      </c>
      <c r="R334" s="139">
        <v>5</v>
      </c>
      <c r="S334" s="134">
        <v>120</v>
      </c>
      <c r="T334" s="134">
        <v>2000</v>
      </c>
      <c r="U334" s="134">
        <v>15</v>
      </c>
      <c r="V334" s="140">
        <v>5</v>
      </c>
      <c r="W334" s="15"/>
    </row>
    <row r="335" spans="1:23" ht="17.100000000000001" customHeight="1" x14ac:dyDescent="0.3">
      <c r="A335" s="139">
        <v>10298</v>
      </c>
      <c r="B335" s="135" t="s">
        <v>88</v>
      </c>
      <c r="C335" s="134" t="s">
        <v>430</v>
      </c>
      <c r="D335" s="134">
        <v>3</v>
      </c>
      <c r="E335" s="134" t="b">
        <v>0</v>
      </c>
      <c r="F335" s="134">
        <v>135</v>
      </c>
      <c r="G335" s="134" t="s">
        <v>127</v>
      </c>
      <c r="H335" s="134" t="s">
        <v>112</v>
      </c>
      <c r="I335" s="137">
        <v>0.4</v>
      </c>
      <c r="J335" s="134" t="s">
        <v>136</v>
      </c>
      <c r="K335" s="134" t="s">
        <v>137</v>
      </c>
      <c r="L335" s="134"/>
      <c r="M335" s="134">
        <v>0</v>
      </c>
      <c r="N335" s="134">
        <v>0</v>
      </c>
      <c r="O335" s="134">
        <v>0</v>
      </c>
      <c r="P335" s="134">
        <v>0</v>
      </c>
      <c r="Q335" s="140">
        <v>0</v>
      </c>
      <c r="R335" s="139">
        <v>5</v>
      </c>
      <c r="S335" s="134">
        <v>120</v>
      </c>
      <c r="T335" s="134">
        <v>2000</v>
      </c>
      <c r="U335" s="134">
        <v>15</v>
      </c>
      <c r="V335" s="140">
        <v>5</v>
      </c>
      <c r="W335" s="15"/>
    </row>
    <row r="336" spans="1:23" ht="17.100000000000001" customHeight="1" x14ac:dyDescent="0.3">
      <c r="A336" s="139">
        <v>10299</v>
      </c>
      <c r="B336" s="135" t="s">
        <v>88</v>
      </c>
      <c r="C336" s="134" t="s">
        <v>431</v>
      </c>
      <c r="D336" s="134">
        <v>3</v>
      </c>
      <c r="E336" s="134" t="b">
        <v>0</v>
      </c>
      <c r="F336" s="134">
        <v>75</v>
      </c>
      <c r="G336" s="134" t="s">
        <v>46</v>
      </c>
      <c r="H336" s="137">
        <v>2</v>
      </c>
      <c r="I336" s="137">
        <v>0.6</v>
      </c>
      <c r="J336" s="134" t="s">
        <v>213</v>
      </c>
      <c r="K336" s="134" t="s">
        <v>54</v>
      </c>
      <c r="L336" s="134"/>
      <c r="M336" s="134">
        <v>0</v>
      </c>
      <c r="N336" s="134">
        <v>0</v>
      </c>
      <c r="O336" s="134">
        <v>0</v>
      </c>
      <c r="P336" s="134">
        <v>0</v>
      </c>
      <c r="Q336" s="140">
        <v>0</v>
      </c>
      <c r="R336" s="139">
        <v>5</v>
      </c>
      <c r="S336" s="134">
        <v>80</v>
      </c>
      <c r="T336" s="134">
        <v>1000</v>
      </c>
      <c r="U336" s="134">
        <v>10</v>
      </c>
      <c r="V336" s="140">
        <v>0</v>
      </c>
      <c r="W336" s="15"/>
    </row>
    <row r="337" spans="1:23" ht="17.100000000000001" customHeight="1" x14ac:dyDescent="0.3">
      <c r="A337" s="139">
        <v>10300</v>
      </c>
      <c r="B337" s="135" t="s">
        <v>88</v>
      </c>
      <c r="C337" s="134" t="s">
        <v>432</v>
      </c>
      <c r="D337" s="134">
        <v>3</v>
      </c>
      <c r="E337" s="134" t="b">
        <v>0</v>
      </c>
      <c r="F337" s="134">
        <v>170</v>
      </c>
      <c r="G337" s="134" t="s">
        <v>127</v>
      </c>
      <c r="H337" s="137">
        <v>3</v>
      </c>
      <c r="I337" s="137">
        <v>0.3</v>
      </c>
      <c r="J337" s="134" t="s">
        <v>148</v>
      </c>
      <c r="K337" s="134" t="s">
        <v>129</v>
      </c>
      <c r="L337" s="134"/>
      <c r="M337" s="134">
        <v>0</v>
      </c>
      <c r="N337" s="134">
        <v>0</v>
      </c>
      <c r="O337" s="134">
        <v>2</v>
      </c>
      <c r="P337" s="134">
        <v>2</v>
      </c>
      <c r="Q337" s="140">
        <v>0</v>
      </c>
      <c r="R337" s="139">
        <v>5</v>
      </c>
      <c r="S337" s="134">
        <v>170</v>
      </c>
      <c r="T337" s="134">
        <v>3500</v>
      </c>
      <c r="U337" s="134">
        <v>25</v>
      </c>
      <c r="V337" s="140">
        <v>10</v>
      </c>
      <c r="W337" s="15"/>
    </row>
    <row r="338" spans="1:23" ht="17.100000000000001" customHeight="1" x14ac:dyDescent="0.3">
      <c r="A338" s="139">
        <v>10301</v>
      </c>
      <c r="B338" s="135" t="s">
        <v>88</v>
      </c>
      <c r="C338" s="134" t="s">
        <v>433</v>
      </c>
      <c r="D338" s="134">
        <v>3</v>
      </c>
      <c r="E338" s="134" t="b">
        <v>0</v>
      </c>
      <c r="F338" s="134">
        <v>155</v>
      </c>
      <c r="G338" s="134" t="s">
        <v>127</v>
      </c>
      <c r="H338" s="134" t="s">
        <v>112</v>
      </c>
      <c r="I338" s="137">
        <v>0.4</v>
      </c>
      <c r="J338" s="134" t="s">
        <v>264</v>
      </c>
      <c r="K338" s="134" t="s">
        <v>129</v>
      </c>
      <c r="L338" s="134"/>
      <c r="M338" s="134">
        <v>0</v>
      </c>
      <c r="N338" s="134">
        <v>0</v>
      </c>
      <c r="O338" s="134">
        <v>1</v>
      </c>
      <c r="P338" s="134">
        <v>1</v>
      </c>
      <c r="Q338" s="140">
        <v>0</v>
      </c>
      <c r="R338" s="139">
        <v>5</v>
      </c>
      <c r="S338" s="134">
        <v>170</v>
      </c>
      <c r="T338" s="134">
        <v>3500</v>
      </c>
      <c r="U338" s="134">
        <v>25</v>
      </c>
      <c r="V338" s="140">
        <v>10</v>
      </c>
      <c r="W338" s="15"/>
    </row>
    <row r="339" spans="1:23" ht="17.100000000000001" customHeight="1" x14ac:dyDescent="0.3">
      <c r="A339" s="139">
        <v>10302</v>
      </c>
      <c r="B339" s="135" t="s">
        <v>88</v>
      </c>
      <c r="C339" s="134" t="s">
        <v>434</v>
      </c>
      <c r="D339" s="134">
        <v>3</v>
      </c>
      <c r="E339" s="134" t="b">
        <v>0</v>
      </c>
      <c r="F339" s="134">
        <v>165</v>
      </c>
      <c r="G339" s="134" t="s">
        <v>127</v>
      </c>
      <c r="H339" s="134" t="s">
        <v>112</v>
      </c>
      <c r="I339" s="137">
        <v>0.3</v>
      </c>
      <c r="J339" s="134" t="s">
        <v>252</v>
      </c>
      <c r="K339" s="134" t="s">
        <v>129</v>
      </c>
      <c r="L339" s="134"/>
      <c r="M339" s="134">
        <v>0</v>
      </c>
      <c r="N339" s="134">
        <v>0</v>
      </c>
      <c r="O339" s="134">
        <v>1</v>
      </c>
      <c r="P339" s="134">
        <v>2</v>
      </c>
      <c r="Q339" s="140">
        <v>0</v>
      </c>
      <c r="R339" s="139">
        <v>5</v>
      </c>
      <c r="S339" s="134">
        <v>170</v>
      </c>
      <c r="T339" s="134">
        <v>3500</v>
      </c>
      <c r="U339" s="134">
        <v>25</v>
      </c>
      <c r="V339" s="140">
        <v>10</v>
      </c>
      <c r="W339" s="15"/>
    </row>
    <row r="340" spans="1:23" ht="17.100000000000001" customHeight="1" x14ac:dyDescent="0.3">
      <c r="A340" s="139">
        <v>10303</v>
      </c>
      <c r="B340" s="135" t="s">
        <v>88</v>
      </c>
      <c r="C340" s="134" t="s">
        <v>435</v>
      </c>
      <c r="D340" s="134">
        <v>3</v>
      </c>
      <c r="E340" s="134" t="b">
        <v>0</v>
      </c>
      <c r="F340" s="134">
        <v>150</v>
      </c>
      <c r="G340" s="134" t="s">
        <v>127</v>
      </c>
      <c r="H340" s="134" t="s">
        <v>112</v>
      </c>
      <c r="I340" s="137">
        <v>0.4</v>
      </c>
      <c r="J340" s="134" t="s">
        <v>134</v>
      </c>
      <c r="K340" s="134" t="s">
        <v>129</v>
      </c>
      <c r="L340" s="134"/>
      <c r="M340" s="134">
        <v>0</v>
      </c>
      <c r="N340" s="134">
        <v>0</v>
      </c>
      <c r="O340" s="134">
        <v>0</v>
      </c>
      <c r="P340" s="134">
        <v>1</v>
      </c>
      <c r="Q340" s="140">
        <v>0</v>
      </c>
      <c r="R340" s="139">
        <v>5</v>
      </c>
      <c r="S340" s="134">
        <v>170</v>
      </c>
      <c r="T340" s="134">
        <v>3500</v>
      </c>
      <c r="U340" s="134">
        <v>25</v>
      </c>
      <c r="V340" s="140">
        <v>10</v>
      </c>
      <c r="W340" s="15"/>
    </row>
    <row r="341" spans="1:23" ht="17.100000000000001" customHeight="1" x14ac:dyDescent="0.3">
      <c r="A341" s="139">
        <v>10304</v>
      </c>
      <c r="B341" s="135" t="s">
        <v>88</v>
      </c>
      <c r="C341" s="134" t="s">
        <v>436</v>
      </c>
      <c r="D341" s="134">
        <v>3</v>
      </c>
      <c r="E341" s="134" t="b">
        <v>0</v>
      </c>
      <c r="F341" s="134">
        <v>155</v>
      </c>
      <c r="G341" s="134" t="s">
        <v>127</v>
      </c>
      <c r="H341" s="134" t="s">
        <v>112</v>
      </c>
      <c r="I341" s="137">
        <v>0.4</v>
      </c>
      <c r="J341" s="134" t="s">
        <v>264</v>
      </c>
      <c r="K341" s="134" t="s">
        <v>129</v>
      </c>
      <c r="L341" s="134"/>
      <c r="M341" s="134">
        <v>0</v>
      </c>
      <c r="N341" s="134">
        <v>0</v>
      </c>
      <c r="O341" s="134">
        <v>0</v>
      </c>
      <c r="P341" s="134">
        <v>1</v>
      </c>
      <c r="Q341" s="140">
        <v>0</v>
      </c>
      <c r="R341" s="139">
        <v>5</v>
      </c>
      <c r="S341" s="134">
        <v>170</v>
      </c>
      <c r="T341" s="134">
        <v>3500</v>
      </c>
      <c r="U341" s="134">
        <v>25</v>
      </c>
      <c r="V341" s="140">
        <v>10</v>
      </c>
      <c r="W341" s="15"/>
    </row>
    <row r="342" spans="1:23" ht="17.100000000000001" customHeight="1" x14ac:dyDescent="0.3">
      <c r="A342" s="139">
        <v>10305</v>
      </c>
      <c r="B342" s="135" t="s">
        <v>88</v>
      </c>
      <c r="C342" s="134" t="s">
        <v>437</v>
      </c>
      <c r="D342" s="134">
        <v>3</v>
      </c>
      <c r="E342" s="134" t="b">
        <v>0</v>
      </c>
      <c r="F342" s="134">
        <v>170</v>
      </c>
      <c r="G342" s="134" t="s">
        <v>127</v>
      </c>
      <c r="H342" s="137">
        <v>3</v>
      </c>
      <c r="I342" s="137">
        <v>0.3</v>
      </c>
      <c r="J342" s="134" t="s">
        <v>148</v>
      </c>
      <c r="K342" s="134" t="s">
        <v>129</v>
      </c>
      <c r="L342" s="134"/>
      <c r="M342" s="134">
        <v>0</v>
      </c>
      <c r="N342" s="134">
        <v>0</v>
      </c>
      <c r="O342" s="134">
        <v>2</v>
      </c>
      <c r="P342" s="134">
        <v>2</v>
      </c>
      <c r="Q342" s="140">
        <v>0</v>
      </c>
      <c r="R342" s="139">
        <v>5</v>
      </c>
      <c r="S342" s="134">
        <v>170</v>
      </c>
      <c r="T342" s="134">
        <v>3500</v>
      </c>
      <c r="U342" s="134">
        <v>25</v>
      </c>
      <c r="V342" s="140">
        <v>10</v>
      </c>
      <c r="W342" s="15"/>
    </row>
    <row r="343" spans="1:23" ht="17.100000000000001" customHeight="1" x14ac:dyDescent="0.3">
      <c r="A343" s="139">
        <v>10306</v>
      </c>
      <c r="B343" s="135" t="s">
        <v>88</v>
      </c>
      <c r="C343" s="134" t="s">
        <v>438</v>
      </c>
      <c r="D343" s="134">
        <v>3</v>
      </c>
      <c r="E343" s="134" t="b">
        <v>0</v>
      </c>
      <c r="F343" s="134">
        <v>150</v>
      </c>
      <c r="G343" s="134" t="s">
        <v>127</v>
      </c>
      <c r="H343" s="134" t="s">
        <v>112</v>
      </c>
      <c r="I343" s="137">
        <v>0.4</v>
      </c>
      <c r="J343" s="134" t="s">
        <v>207</v>
      </c>
      <c r="K343" s="134" t="s">
        <v>137</v>
      </c>
      <c r="L343" s="134"/>
      <c r="M343" s="134">
        <v>0</v>
      </c>
      <c r="N343" s="134">
        <v>0</v>
      </c>
      <c r="O343" s="134">
        <v>0</v>
      </c>
      <c r="P343" s="134">
        <v>1</v>
      </c>
      <c r="Q343" s="140">
        <v>0</v>
      </c>
      <c r="R343" s="139">
        <v>5</v>
      </c>
      <c r="S343" s="134">
        <v>120</v>
      </c>
      <c r="T343" s="134">
        <v>2000</v>
      </c>
      <c r="U343" s="134">
        <v>15</v>
      </c>
      <c r="V343" s="140">
        <v>5</v>
      </c>
      <c r="W343" s="15"/>
    </row>
    <row r="344" spans="1:23" ht="17.100000000000001" customHeight="1" x14ac:dyDescent="0.3">
      <c r="A344" s="139">
        <v>10307</v>
      </c>
      <c r="B344" s="135" t="s">
        <v>88</v>
      </c>
      <c r="C344" s="134" t="s">
        <v>439</v>
      </c>
      <c r="D344" s="134">
        <v>3</v>
      </c>
      <c r="E344" s="134" t="b">
        <v>0</v>
      </c>
      <c r="F344" s="134">
        <v>125</v>
      </c>
      <c r="G344" s="134" t="s">
        <v>127</v>
      </c>
      <c r="H344" s="137">
        <v>2</v>
      </c>
      <c r="I344" s="137">
        <v>0.5</v>
      </c>
      <c r="J344" s="134" t="s">
        <v>150</v>
      </c>
      <c r="K344" s="134" t="s">
        <v>137</v>
      </c>
      <c r="L344" s="134"/>
      <c r="M344" s="134">
        <v>0</v>
      </c>
      <c r="N344" s="134">
        <v>0</v>
      </c>
      <c r="O344" s="134">
        <v>0</v>
      </c>
      <c r="P344" s="134">
        <v>0</v>
      </c>
      <c r="Q344" s="140">
        <v>0</v>
      </c>
      <c r="R344" s="139">
        <v>5</v>
      </c>
      <c r="S344" s="134">
        <v>120</v>
      </c>
      <c r="T344" s="134">
        <v>2000</v>
      </c>
      <c r="U344" s="134">
        <v>15</v>
      </c>
      <c r="V344" s="140">
        <v>5</v>
      </c>
      <c r="W344" s="15"/>
    </row>
    <row r="345" spans="1:23" ht="17.100000000000001" customHeight="1" x14ac:dyDescent="0.3">
      <c r="A345" s="139">
        <v>10308</v>
      </c>
      <c r="B345" s="135" t="s">
        <v>88</v>
      </c>
      <c r="C345" s="134" t="s">
        <v>440</v>
      </c>
      <c r="D345" s="134">
        <v>3</v>
      </c>
      <c r="E345" s="134" t="b">
        <v>0</v>
      </c>
      <c r="F345" s="134">
        <v>190</v>
      </c>
      <c r="G345" s="134" t="s">
        <v>127</v>
      </c>
      <c r="H345" s="137">
        <v>3</v>
      </c>
      <c r="I345" s="137">
        <v>0.2</v>
      </c>
      <c r="J345" s="134" t="s">
        <v>243</v>
      </c>
      <c r="K345" s="134" t="s">
        <v>129</v>
      </c>
      <c r="L345" s="134"/>
      <c r="M345" s="134">
        <v>0</v>
      </c>
      <c r="N345" s="134">
        <v>0</v>
      </c>
      <c r="O345" s="134">
        <v>4</v>
      </c>
      <c r="P345" s="134">
        <v>4</v>
      </c>
      <c r="Q345" s="140">
        <v>0</v>
      </c>
      <c r="R345" s="139">
        <v>5</v>
      </c>
      <c r="S345" s="134">
        <v>230</v>
      </c>
      <c r="T345" s="134">
        <v>5500</v>
      </c>
      <c r="U345" s="134">
        <v>40</v>
      </c>
      <c r="V345" s="140">
        <v>20</v>
      </c>
      <c r="W345" s="15"/>
    </row>
    <row r="346" spans="1:23" ht="17.100000000000001" customHeight="1" x14ac:dyDescent="0.3">
      <c r="A346" s="139">
        <v>10309</v>
      </c>
      <c r="B346" s="135" t="s">
        <v>88</v>
      </c>
      <c r="C346" s="134" t="s">
        <v>441</v>
      </c>
      <c r="D346" s="134">
        <v>3</v>
      </c>
      <c r="E346" s="134" t="b">
        <v>0</v>
      </c>
      <c r="F346" s="134">
        <v>180</v>
      </c>
      <c r="G346" s="134" t="s">
        <v>127</v>
      </c>
      <c r="H346" s="137">
        <v>3</v>
      </c>
      <c r="I346" s="137">
        <v>0.3</v>
      </c>
      <c r="J346" s="134" t="s">
        <v>189</v>
      </c>
      <c r="K346" s="134" t="s">
        <v>129</v>
      </c>
      <c r="L346" s="134"/>
      <c r="M346" s="134">
        <v>0</v>
      </c>
      <c r="N346" s="134">
        <v>0</v>
      </c>
      <c r="O346" s="134">
        <v>3</v>
      </c>
      <c r="P346" s="134">
        <v>3</v>
      </c>
      <c r="Q346" s="140">
        <v>0</v>
      </c>
      <c r="R346" s="139">
        <v>5</v>
      </c>
      <c r="S346" s="134">
        <v>230</v>
      </c>
      <c r="T346" s="134">
        <v>5500</v>
      </c>
      <c r="U346" s="134">
        <v>40</v>
      </c>
      <c r="V346" s="140">
        <v>20</v>
      </c>
      <c r="W346" s="15"/>
    </row>
    <row r="347" spans="1:23" ht="17.100000000000001" customHeight="1" x14ac:dyDescent="0.3">
      <c r="A347" s="139">
        <v>10310</v>
      </c>
      <c r="B347" s="135" t="s">
        <v>88</v>
      </c>
      <c r="C347" s="134" t="s">
        <v>442</v>
      </c>
      <c r="D347" s="134">
        <v>3</v>
      </c>
      <c r="E347" s="134" t="b">
        <v>0</v>
      </c>
      <c r="F347" s="134">
        <v>130</v>
      </c>
      <c r="G347" s="134" t="s">
        <v>127</v>
      </c>
      <c r="H347" s="137">
        <v>2</v>
      </c>
      <c r="I347" s="137">
        <v>0.5</v>
      </c>
      <c r="J347" s="134" t="s">
        <v>139</v>
      </c>
      <c r="K347" s="134" t="s">
        <v>137</v>
      </c>
      <c r="L347" s="134"/>
      <c r="M347" s="134">
        <v>0</v>
      </c>
      <c r="N347" s="134">
        <v>0</v>
      </c>
      <c r="O347" s="134">
        <v>0</v>
      </c>
      <c r="P347" s="134">
        <v>0</v>
      </c>
      <c r="Q347" s="140">
        <v>0</v>
      </c>
      <c r="R347" s="139">
        <v>5</v>
      </c>
      <c r="S347" s="134">
        <v>120</v>
      </c>
      <c r="T347" s="134">
        <v>2000</v>
      </c>
      <c r="U347" s="134">
        <v>15</v>
      </c>
      <c r="V347" s="140">
        <v>5</v>
      </c>
      <c r="W347" s="15"/>
    </row>
    <row r="348" spans="1:23" ht="17.100000000000001" customHeight="1" x14ac:dyDescent="0.3">
      <c r="A348" s="139">
        <v>10311</v>
      </c>
      <c r="B348" s="135" t="s">
        <v>88</v>
      </c>
      <c r="C348" s="134" t="s">
        <v>443</v>
      </c>
      <c r="D348" s="134">
        <v>3</v>
      </c>
      <c r="E348" s="134" t="b">
        <v>0</v>
      </c>
      <c r="F348" s="134">
        <v>165</v>
      </c>
      <c r="G348" s="134" t="s">
        <v>127</v>
      </c>
      <c r="H348" s="134" t="s">
        <v>112</v>
      </c>
      <c r="I348" s="137">
        <v>0.3</v>
      </c>
      <c r="J348" s="134" t="s">
        <v>252</v>
      </c>
      <c r="K348" s="134" t="s">
        <v>129</v>
      </c>
      <c r="L348" s="134"/>
      <c r="M348" s="134">
        <v>0</v>
      </c>
      <c r="N348" s="134">
        <v>0</v>
      </c>
      <c r="O348" s="134">
        <v>1</v>
      </c>
      <c r="P348" s="134">
        <v>2</v>
      </c>
      <c r="Q348" s="140">
        <v>0</v>
      </c>
      <c r="R348" s="139">
        <v>5</v>
      </c>
      <c r="S348" s="134">
        <v>170</v>
      </c>
      <c r="T348" s="134">
        <v>3500</v>
      </c>
      <c r="U348" s="134">
        <v>25</v>
      </c>
      <c r="V348" s="140">
        <v>10</v>
      </c>
      <c r="W348" s="15"/>
    </row>
    <row r="349" spans="1:23" ht="17.100000000000001" customHeight="1" x14ac:dyDescent="0.3">
      <c r="A349" s="139">
        <v>10312</v>
      </c>
      <c r="B349" s="135" t="s">
        <v>88</v>
      </c>
      <c r="C349" s="134" t="s">
        <v>444</v>
      </c>
      <c r="D349" s="134">
        <v>3</v>
      </c>
      <c r="E349" s="134" t="b">
        <v>0</v>
      </c>
      <c r="F349" s="134">
        <v>200</v>
      </c>
      <c r="G349" s="134" t="s">
        <v>127</v>
      </c>
      <c r="H349" s="137">
        <v>3</v>
      </c>
      <c r="I349" s="137">
        <v>0.2</v>
      </c>
      <c r="J349" s="134" t="s">
        <v>223</v>
      </c>
      <c r="K349" s="134" t="s">
        <v>129</v>
      </c>
      <c r="L349" s="134"/>
      <c r="M349" s="134">
        <v>0</v>
      </c>
      <c r="N349" s="134">
        <v>0</v>
      </c>
      <c r="O349" s="134">
        <v>5</v>
      </c>
      <c r="P349" s="134">
        <v>6</v>
      </c>
      <c r="Q349" s="140">
        <v>0</v>
      </c>
      <c r="R349" s="139">
        <v>5</v>
      </c>
      <c r="S349" s="134">
        <v>230</v>
      </c>
      <c r="T349" s="134">
        <v>5500</v>
      </c>
      <c r="U349" s="134">
        <v>40</v>
      </c>
      <c r="V349" s="140">
        <v>20</v>
      </c>
      <c r="W349" s="15"/>
    </row>
    <row r="350" spans="1:23" ht="17.100000000000001" customHeight="1" x14ac:dyDescent="0.3">
      <c r="A350" s="139">
        <v>10313</v>
      </c>
      <c r="B350" s="135" t="s">
        <v>88</v>
      </c>
      <c r="C350" s="134" t="s">
        <v>445</v>
      </c>
      <c r="D350" s="134">
        <v>3</v>
      </c>
      <c r="E350" s="134" t="b">
        <v>0</v>
      </c>
      <c r="F350" s="134">
        <v>200</v>
      </c>
      <c r="G350" s="134" t="s">
        <v>127</v>
      </c>
      <c r="H350" s="137">
        <v>3</v>
      </c>
      <c r="I350" s="137">
        <v>0.2</v>
      </c>
      <c r="J350" s="134" t="s">
        <v>223</v>
      </c>
      <c r="K350" s="134" t="s">
        <v>129</v>
      </c>
      <c r="L350" s="134"/>
      <c r="M350" s="134">
        <v>0</v>
      </c>
      <c r="N350" s="134">
        <v>0</v>
      </c>
      <c r="O350" s="134">
        <v>5</v>
      </c>
      <c r="P350" s="134">
        <v>6</v>
      </c>
      <c r="Q350" s="140">
        <v>0</v>
      </c>
      <c r="R350" s="139">
        <v>5</v>
      </c>
      <c r="S350" s="134">
        <v>230</v>
      </c>
      <c r="T350" s="134">
        <v>5500</v>
      </c>
      <c r="U350" s="134">
        <v>40</v>
      </c>
      <c r="V350" s="140">
        <v>20</v>
      </c>
      <c r="W350" s="15"/>
    </row>
    <row r="351" spans="1:23" ht="17.100000000000001" customHeight="1" x14ac:dyDescent="0.3">
      <c r="A351" s="139">
        <v>10314</v>
      </c>
      <c r="B351" s="135" t="s">
        <v>88</v>
      </c>
      <c r="C351" s="134" t="s">
        <v>446</v>
      </c>
      <c r="D351" s="134">
        <v>3</v>
      </c>
      <c r="E351" s="134" t="b">
        <v>0</v>
      </c>
      <c r="F351" s="134">
        <v>170</v>
      </c>
      <c r="G351" s="134" t="s">
        <v>127</v>
      </c>
      <c r="H351" s="137">
        <v>3</v>
      </c>
      <c r="I351" s="137">
        <v>0.3</v>
      </c>
      <c r="J351" s="134" t="s">
        <v>148</v>
      </c>
      <c r="K351" s="134" t="s">
        <v>129</v>
      </c>
      <c r="L351" s="134"/>
      <c r="M351" s="134">
        <v>0</v>
      </c>
      <c r="N351" s="134">
        <v>0</v>
      </c>
      <c r="O351" s="134">
        <v>2</v>
      </c>
      <c r="P351" s="134">
        <v>2</v>
      </c>
      <c r="Q351" s="140">
        <v>0</v>
      </c>
      <c r="R351" s="139">
        <v>5</v>
      </c>
      <c r="S351" s="134">
        <v>170</v>
      </c>
      <c r="T351" s="134">
        <v>3500</v>
      </c>
      <c r="U351" s="134">
        <v>25</v>
      </c>
      <c r="V351" s="140">
        <v>10</v>
      </c>
      <c r="W351" s="15"/>
    </row>
    <row r="352" spans="1:23" ht="17.100000000000001" customHeight="1" x14ac:dyDescent="0.3">
      <c r="A352" s="139">
        <v>10315</v>
      </c>
      <c r="B352" s="135" t="s">
        <v>88</v>
      </c>
      <c r="C352" s="134" t="s">
        <v>447</v>
      </c>
      <c r="D352" s="134">
        <v>3</v>
      </c>
      <c r="E352" s="134" t="b">
        <v>0</v>
      </c>
      <c r="F352" s="134">
        <v>160</v>
      </c>
      <c r="G352" s="134" t="s">
        <v>127</v>
      </c>
      <c r="H352" s="134" t="s">
        <v>112</v>
      </c>
      <c r="I352" s="137">
        <v>0.4</v>
      </c>
      <c r="J352" s="134" t="s">
        <v>166</v>
      </c>
      <c r="K352" s="134" t="s">
        <v>129</v>
      </c>
      <c r="L352" s="134"/>
      <c r="M352" s="134">
        <v>0</v>
      </c>
      <c r="N352" s="134">
        <v>0</v>
      </c>
      <c r="O352" s="134">
        <v>1</v>
      </c>
      <c r="P352" s="134">
        <v>1</v>
      </c>
      <c r="Q352" s="140">
        <v>0</v>
      </c>
      <c r="R352" s="139">
        <v>5</v>
      </c>
      <c r="S352" s="134">
        <v>170</v>
      </c>
      <c r="T352" s="134">
        <v>3500</v>
      </c>
      <c r="U352" s="134">
        <v>25</v>
      </c>
      <c r="V352" s="140">
        <v>10</v>
      </c>
      <c r="W352" s="15"/>
    </row>
    <row r="353" spans="1:23" ht="17.100000000000001" customHeight="1" x14ac:dyDescent="0.3">
      <c r="A353" s="139">
        <v>10316</v>
      </c>
      <c r="B353" s="135" t="s">
        <v>88</v>
      </c>
      <c r="C353" s="134" t="s">
        <v>448</v>
      </c>
      <c r="D353" s="134">
        <v>3</v>
      </c>
      <c r="E353" s="134" t="b">
        <v>0</v>
      </c>
      <c r="F353" s="134">
        <v>130</v>
      </c>
      <c r="G353" s="134" t="s">
        <v>127</v>
      </c>
      <c r="H353" s="134" t="s">
        <v>112</v>
      </c>
      <c r="I353" s="137">
        <v>0.4</v>
      </c>
      <c r="J353" s="134" t="s">
        <v>139</v>
      </c>
      <c r="K353" s="134" t="s">
        <v>137</v>
      </c>
      <c r="L353" s="134"/>
      <c r="M353" s="134">
        <v>0</v>
      </c>
      <c r="N353" s="134">
        <v>0</v>
      </c>
      <c r="O353" s="134">
        <v>0</v>
      </c>
      <c r="P353" s="134">
        <v>0</v>
      </c>
      <c r="Q353" s="140">
        <v>0</v>
      </c>
      <c r="R353" s="139">
        <v>5</v>
      </c>
      <c r="S353" s="134">
        <v>120</v>
      </c>
      <c r="T353" s="134">
        <v>2000</v>
      </c>
      <c r="U353" s="134">
        <v>15</v>
      </c>
      <c r="V353" s="140">
        <v>5</v>
      </c>
      <c r="W353" s="15"/>
    </row>
    <row r="354" spans="1:23" ht="17.100000000000001" customHeight="1" x14ac:dyDescent="0.3">
      <c r="A354" s="139">
        <v>10317</v>
      </c>
      <c r="B354" s="135" t="s">
        <v>88</v>
      </c>
      <c r="C354" s="134" t="s">
        <v>449</v>
      </c>
      <c r="D354" s="134">
        <v>3</v>
      </c>
      <c r="E354" s="134" t="b">
        <v>0</v>
      </c>
      <c r="F354" s="134">
        <v>170</v>
      </c>
      <c r="G354" s="134" t="s">
        <v>127</v>
      </c>
      <c r="H354" s="137">
        <v>3</v>
      </c>
      <c r="I354" s="137">
        <v>0.3</v>
      </c>
      <c r="J354" s="134" t="s">
        <v>148</v>
      </c>
      <c r="K354" s="134" t="s">
        <v>129</v>
      </c>
      <c r="L354" s="134"/>
      <c r="M354" s="134">
        <v>0</v>
      </c>
      <c r="N354" s="134">
        <v>0</v>
      </c>
      <c r="O354" s="134">
        <v>2</v>
      </c>
      <c r="P354" s="134">
        <v>2</v>
      </c>
      <c r="Q354" s="140">
        <v>0</v>
      </c>
      <c r="R354" s="139">
        <v>5</v>
      </c>
      <c r="S354" s="134">
        <v>170</v>
      </c>
      <c r="T354" s="134">
        <v>3500</v>
      </c>
      <c r="U354" s="134">
        <v>25</v>
      </c>
      <c r="V354" s="140">
        <v>10</v>
      </c>
      <c r="W354" s="15"/>
    </row>
    <row r="355" spans="1:23" ht="17.100000000000001" customHeight="1" x14ac:dyDescent="0.3">
      <c r="A355" s="139">
        <v>10318</v>
      </c>
      <c r="B355" s="135" t="s">
        <v>88</v>
      </c>
      <c r="C355" s="134" t="s">
        <v>450</v>
      </c>
      <c r="D355" s="134">
        <v>3</v>
      </c>
      <c r="E355" s="134" t="b">
        <v>0</v>
      </c>
      <c r="F355" s="134">
        <v>200</v>
      </c>
      <c r="G355" s="134" t="s">
        <v>127</v>
      </c>
      <c r="H355" s="137">
        <v>3</v>
      </c>
      <c r="I355" s="137">
        <v>0.2</v>
      </c>
      <c r="J355" s="134" t="s">
        <v>223</v>
      </c>
      <c r="K355" s="134" t="s">
        <v>129</v>
      </c>
      <c r="L355" s="134"/>
      <c r="M355" s="134">
        <v>0</v>
      </c>
      <c r="N355" s="134">
        <v>0</v>
      </c>
      <c r="O355" s="134">
        <v>5</v>
      </c>
      <c r="P355" s="134">
        <v>6</v>
      </c>
      <c r="Q355" s="140">
        <v>0</v>
      </c>
      <c r="R355" s="139">
        <v>5</v>
      </c>
      <c r="S355" s="134">
        <v>230</v>
      </c>
      <c r="T355" s="134">
        <v>5500</v>
      </c>
      <c r="U355" s="134">
        <v>40</v>
      </c>
      <c r="V355" s="140">
        <v>20</v>
      </c>
      <c r="W355" s="15"/>
    </row>
    <row r="356" spans="1:23" ht="17.100000000000001" customHeight="1" x14ac:dyDescent="0.3">
      <c r="A356" s="139">
        <v>10319</v>
      </c>
      <c r="B356" s="135" t="s">
        <v>88</v>
      </c>
      <c r="C356" s="134" t="s">
        <v>451</v>
      </c>
      <c r="D356" s="134">
        <v>3</v>
      </c>
      <c r="E356" s="134" t="b">
        <v>0</v>
      </c>
      <c r="F356" s="134">
        <v>200</v>
      </c>
      <c r="G356" s="134" t="s">
        <v>127</v>
      </c>
      <c r="H356" s="137">
        <v>3</v>
      </c>
      <c r="I356" s="137">
        <v>0.2</v>
      </c>
      <c r="J356" s="134" t="s">
        <v>223</v>
      </c>
      <c r="K356" s="134" t="s">
        <v>129</v>
      </c>
      <c r="L356" s="134"/>
      <c r="M356" s="134">
        <v>0</v>
      </c>
      <c r="N356" s="134">
        <v>0</v>
      </c>
      <c r="O356" s="134">
        <v>5</v>
      </c>
      <c r="P356" s="134">
        <v>6</v>
      </c>
      <c r="Q356" s="140">
        <v>0</v>
      </c>
      <c r="R356" s="139">
        <v>5</v>
      </c>
      <c r="S356" s="134">
        <v>230</v>
      </c>
      <c r="T356" s="134">
        <v>5500</v>
      </c>
      <c r="U356" s="134">
        <v>40</v>
      </c>
      <c r="V356" s="140">
        <v>20</v>
      </c>
      <c r="W356" s="15"/>
    </row>
    <row r="357" spans="1:23" ht="17.100000000000001" customHeight="1" x14ac:dyDescent="0.3">
      <c r="A357" s="139">
        <v>10320</v>
      </c>
      <c r="B357" s="135" t="s">
        <v>88</v>
      </c>
      <c r="C357" s="134" t="s">
        <v>452</v>
      </c>
      <c r="D357" s="134">
        <v>3</v>
      </c>
      <c r="E357" s="134" t="b">
        <v>0</v>
      </c>
      <c r="F357" s="134">
        <v>190</v>
      </c>
      <c r="G357" s="134" t="s">
        <v>127</v>
      </c>
      <c r="H357" s="137">
        <v>3</v>
      </c>
      <c r="I357" s="137">
        <v>0.2</v>
      </c>
      <c r="J357" s="134" t="s">
        <v>243</v>
      </c>
      <c r="K357" s="134" t="s">
        <v>129</v>
      </c>
      <c r="L357" s="134"/>
      <c r="M357" s="134">
        <v>0</v>
      </c>
      <c r="N357" s="134">
        <v>0</v>
      </c>
      <c r="O357" s="134">
        <v>4</v>
      </c>
      <c r="P357" s="134">
        <v>5</v>
      </c>
      <c r="Q357" s="140">
        <v>0</v>
      </c>
      <c r="R357" s="139">
        <v>5</v>
      </c>
      <c r="S357" s="134">
        <v>230</v>
      </c>
      <c r="T357" s="134">
        <v>5500</v>
      </c>
      <c r="U357" s="134">
        <v>40</v>
      </c>
      <c r="V357" s="140">
        <v>20</v>
      </c>
      <c r="W357" s="15"/>
    </row>
    <row r="358" spans="1:23" ht="17.100000000000001" customHeight="1" x14ac:dyDescent="0.3">
      <c r="A358" s="139">
        <v>10321</v>
      </c>
      <c r="B358" s="135" t="s">
        <v>88</v>
      </c>
      <c r="C358" s="134" t="s">
        <v>453</v>
      </c>
      <c r="D358" s="134">
        <v>3</v>
      </c>
      <c r="E358" s="134" t="b">
        <v>0</v>
      </c>
      <c r="F358" s="134">
        <v>185</v>
      </c>
      <c r="G358" s="134" t="s">
        <v>127</v>
      </c>
      <c r="H358" s="137">
        <v>3</v>
      </c>
      <c r="I358" s="137">
        <v>0.2</v>
      </c>
      <c r="J358" s="134" t="s">
        <v>142</v>
      </c>
      <c r="K358" s="134" t="s">
        <v>129</v>
      </c>
      <c r="L358" s="134"/>
      <c r="M358" s="134">
        <v>0</v>
      </c>
      <c r="N358" s="134">
        <v>0</v>
      </c>
      <c r="O358" s="134">
        <v>3</v>
      </c>
      <c r="P358" s="134">
        <v>4</v>
      </c>
      <c r="Q358" s="140">
        <v>0</v>
      </c>
      <c r="R358" s="139">
        <v>5</v>
      </c>
      <c r="S358" s="134">
        <v>230</v>
      </c>
      <c r="T358" s="134">
        <v>5500</v>
      </c>
      <c r="U358" s="134">
        <v>40</v>
      </c>
      <c r="V358" s="140">
        <v>20</v>
      </c>
      <c r="W358" s="15"/>
    </row>
    <row r="359" spans="1:23" ht="17.100000000000001" customHeight="1" x14ac:dyDescent="0.3">
      <c r="A359" s="139">
        <v>10322</v>
      </c>
      <c r="B359" s="135" t="s">
        <v>88</v>
      </c>
      <c r="C359" s="134" t="s">
        <v>454</v>
      </c>
      <c r="D359" s="134">
        <v>3</v>
      </c>
      <c r="E359" s="134" t="b">
        <v>0</v>
      </c>
      <c r="F359" s="134">
        <v>200</v>
      </c>
      <c r="G359" s="134" t="s">
        <v>127</v>
      </c>
      <c r="H359" s="137">
        <v>3</v>
      </c>
      <c r="I359" s="137">
        <v>0.2</v>
      </c>
      <c r="J359" s="134" t="s">
        <v>223</v>
      </c>
      <c r="K359" s="134" t="s">
        <v>129</v>
      </c>
      <c r="L359" s="134"/>
      <c r="M359" s="134">
        <v>0</v>
      </c>
      <c r="N359" s="134">
        <v>0</v>
      </c>
      <c r="O359" s="134">
        <v>5</v>
      </c>
      <c r="P359" s="134">
        <v>6</v>
      </c>
      <c r="Q359" s="140">
        <v>0</v>
      </c>
      <c r="R359" s="139">
        <v>5</v>
      </c>
      <c r="S359" s="134">
        <v>230</v>
      </c>
      <c r="T359" s="134">
        <v>5500</v>
      </c>
      <c r="U359" s="134">
        <v>40</v>
      </c>
      <c r="V359" s="140">
        <v>20</v>
      </c>
      <c r="W359" s="15"/>
    </row>
    <row r="360" spans="1:23" ht="17.100000000000001" customHeight="1" x14ac:dyDescent="0.3">
      <c r="A360" s="139">
        <v>10323</v>
      </c>
      <c r="B360" s="135" t="s">
        <v>88</v>
      </c>
      <c r="C360" s="134" t="s">
        <v>455</v>
      </c>
      <c r="D360" s="134">
        <v>3</v>
      </c>
      <c r="E360" s="134" t="b">
        <v>0</v>
      </c>
      <c r="F360" s="134">
        <v>200</v>
      </c>
      <c r="G360" s="134" t="s">
        <v>127</v>
      </c>
      <c r="H360" s="137">
        <v>3</v>
      </c>
      <c r="I360" s="137">
        <v>0.2</v>
      </c>
      <c r="J360" s="134" t="s">
        <v>223</v>
      </c>
      <c r="K360" s="134" t="s">
        <v>129</v>
      </c>
      <c r="L360" s="134"/>
      <c r="M360" s="134">
        <v>0</v>
      </c>
      <c r="N360" s="134">
        <v>0</v>
      </c>
      <c r="O360" s="134">
        <v>5</v>
      </c>
      <c r="P360" s="134">
        <v>6</v>
      </c>
      <c r="Q360" s="140">
        <v>0</v>
      </c>
      <c r="R360" s="139">
        <v>5</v>
      </c>
      <c r="S360" s="134">
        <v>230</v>
      </c>
      <c r="T360" s="134">
        <v>5500</v>
      </c>
      <c r="U360" s="134">
        <v>40</v>
      </c>
      <c r="V360" s="140">
        <v>20</v>
      </c>
      <c r="W360" s="15"/>
    </row>
    <row r="361" spans="1:23" ht="17.100000000000001" customHeight="1" x14ac:dyDescent="0.3">
      <c r="A361" s="139">
        <v>10324</v>
      </c>
      <c r="B361" s="135" t="s">
        <v>88</v>
      </c>
      <c r="C361" s="134" t="s">
        <v>456</v>
      </c>
      <c r="D361" s="134">
        <v>3</v>
      </c>
      <c r="E361" s="134" t="b">
        <v>0</v>
      </c>
      <c r="F361" s="134">
        <v>170</v>
      </c>
      <c r="G361" s="134" t="s">
        <v>127</v>
      </c>
      <c r="H361" s="137">
        <v>3</v>
      </c>
      <c r="I361" s="137">
        <v>0.3</v>
      </c>
      <c r="J361" s="134" t="s">
        <v>148</v>
      </c>
      <c r="K361" s="134" t="s">
        <v>129</v>
      </c>
      <c r="L361" s="134"/>
      <c r="M361" s="134">
        <v>0</v>
      </c>
      <c r="N361" s="134">
        <v>0</v>
      </c>
      <c r="O361" s="134">
        <v>2</v>
      </c>
      <c r="P361" s="134">
        <v>2</v>
      </c>
      <c r="Q361" s="140">
        <v>0</v>
      </c>
      <c r="R361" s="139">
        <v>5</v>
      </c>
      <c r="S361" s="134">
        <v>170</v>
      </c>
      <c r="T361" s="134">
        <v>3500</v>
      </c>
      <c r="U361" s="134">
        <v>25</v>
      </c>
      <c r="V361" s="140">
        <v>10</v>
      </c>
      <c r="W361" s="15"/>
    </row>
    <row r="362" spans="1:23" ht="17.100000000000001" customHeight="1" x14ac:dyDescent="0.3">
      <c r="A362" s="139">
        <v>10325</v>
      </c>
      <c r="B362" s="135" t="s">
        <v>88</v>
      </c>
      <c r="C362" s="134" t="s">
        <v>457</v>
      </c>
      <c r="D362" s="134">
        <v>3</v>
      </c>
      <c r="E362" s="134" t="b">
        <v>0</v>
      </c>
      <c r="F362" s="134">
        <v>200</v>
      </c>
      <c r="G362" s="134" t="s">
        <v>127</v>
      </c>
      <c r="H362" s="137">
        <v>3</v>
      </c>
      <c r="I362" s="137">
        <v>0.2</v>
      </c>
      <c r="J362" s="134" t="s">
        <v>223</v>
      </c>
      <c r="K362" s="134" t="s">
        <v>129</v>
      </c>
      <c r="L362" s="134"/>
      <c r="M362" s="134">
        <v>0</v>
      </c>
      <c r="N362" s="134">
        <v>0</v>
      </c>
      <c r="O362" s="134">
        <v>5</v>
      </c>
      <c r="P362" s="134">
        <v>6</v>
      </c>
      <c r="Q362" s="140">
        <v>0</v>
      </c>
      <c r="R362" s="139">
        <v>5</v>
      </c>
      <c r="S362" s="134">
        <v>230</v>
      </c>
      <c r="T362" s="134">
        <v>5500</v>
      </c>
      <c r="U362" s="134">
        <v>40</v>
      </c>
      <c r="V362" s="140">
        <v>20</v>
      </c>
      <c r="W362" s="15"/>
    </row>
    <row r="363" spans="1:23" ht="17.100000000000001" customHeight="1" x14ac:dyDescent="0.3">
      <c r="A363" s="139">
        <v>10326</v>
      </c>
      <c r="B363" s="135" t="s">
        <v>88</v>
      </c>
      <c r="C363" s="134" t="s">
        <v>458</v>
      </c>
      <c r="D363" s="134">
        <v>3</v>
      </c>
      <c r="E363" s="134" t="b">
        <v>0</v>
      </c>
      <c r="F363" s="134">
        <v>190</v>
      </c>
      <c r="G363" s="134" t="s">
        <v>127</v>
      </c>
      <c r="H363" s="137">
        <v>3</v>
      </c>
      <c r="I363" s="137">
        <v>0.2</v>
      </c>
      <c r="J363" s="134" t="s">
        <v>243</v>
      </c>
      <c r="K363" s="134" t="s">
        <v>129</v>
      </c>
      <c r="L363" s="134"/>
      <c r="M363" s="134">
        <v>0</v>
      </c>
      <c r="N363" s="134">
        <v>0</v>
      </c>
      <c r="O363" s="134">
        <v>4</v>
      </c>
      <c r="P363" s="134">
        <v>5</v>
      </c>
      <c r="Q363" s="140">
        <v>0</v>
      </c>
      <c r="R363" s="139">
        <v>5</v>
      </c>
      <c r="S363" s="134">
        <v>230</v>
      </c>
      <c r="T363" s="134">
        <v>5500</v>
      </c>
      <c r="U363" s="134">
        <v>40</v>
      </c>
      <c r="V363" s="140">
        <v>20</v>
      </c>
      <c r="W363" s="15"/>
    </row>
    <row r="364" spans="1:23" ht="17.100000000000001" customHeight="1" x14ac:dyDescent="0.3">
      <c r="A364" s="139">
        <v>10327</v>
      </c>
      <c r="B364" s="135" t="s">
        <v>88</v>
      </c>
      <c r="C364" s="134" t="s">
        <v>459</v>
      </c>
      <c r="D364" s="134">
        <v>3</v>
      </c>
      <c r="E364" s="134" t="b">
        <v>0</v>
      </c>
      <c r="F364" s="134">
        <v>190</v>
      </c>
      <c r="G364" s="134" t="s">
        <v>127</v>
      </c>
      <c r="H364" s="137">
        <v>3</v>
      </c>
      <c r="I364" s="137">
        <v>0.2</v>
      </c>
      <c r="J364" s="134" t="s">
        <v>243</v>
      </c>
      <c r="K364" s="134" t="s">
        <v>129</v>
      </c>
      <c r="L364" s="134"/>
      <c r="M364" s="134">
        <v>0</v>
      </c>
      <c r="N364" s="134">
        <v>0</v>
      </c>
      <c r="O364" s="134">
        <v>4</v>
      </c>
      <c r="P364" s="134">
        <v>4</v>
      </c>
      <c r="Q364" s="140">
        <v>0</v>
      </c>
      <c r="R364" s="139">
        <v>5</v>
      </c>
      <c r="S364" s="134">
        <v>230</v>
      </c>
      <c r="T364" s="134">
        <v>5500</v>
      </c>
      <c r="U364" s="134">
        <v>40</v>
      </c>
      <c r="V364" s="140">
        <v>20</v>
      </c>
      <c r="W364" s="15"/>
    </row>
    <row r="365" spans="1:23" ht="17.100000000000001" customHeight="1" x14ac:dyDescent="0.3">
      <c r="A365" s="139">
        <v>10328</v>
      </c>
      <c r="B365" s="135" t="s">
        <v>88</v>
      </c>
      <c r="C365" s="134" t="s">
        <v>460</v>
      </c>
      <c r="D365" s="134">
        <v>3</v>
      </c>
      <c r="E365" s="134" t="b">
        <v>0</v>
      </c>
      <c r="F365" s="134">
        <v>190</v>
      </c>
      <c r="G365" s="134" t="s">
        <v>127</v>
      </c>
      <c r="H365" s="137">
        <v>3</v>
      </c>
      <c r="I365" s="137">
        <v>0.2</v>
      </c>
      <c r="J365" s="134" t="s">
        <v>243</v>
      </c>
      <c r="K365" s="134" t="s">
        <v>129</v>
      </c>
      <c r="L365" s="134"/>
      <c r="M365" s="134">
        <v>0</v>
      </c>
      <c r="N365" s="134">
        <v>0</v>
      </c>
      <c r="O365" s="134">
        <v>4</v>
      </c>
      <c r="P365" s="134">
        <v>5</v>
      </c>
      <c r="Q365" s="140">
        <v>0</v>
      </c>
      <c r="R365" s="139">
        <v>5</v>
      </c>
      <c r="S365" s="134">
        <v>230</v>
      </c>
      <c r="T365" s="134">
        <v>5500</v>
      </c>
      <c r="U365" s="134">
        <v>40</v>
      </c>
      <c r="V365" s="140">
        <v>20</v>
      </c>
      <c r="W365" s="15"/>
    </row>
    <row r="366" spans="1:23" ht="17.100000000000001" customHeight="1" x14ac:dyDescent="0.3">
      <c r="A366" s="139">
        <v>10329</v>
      </c>
      <c r="B366" s="135" t="s">
        <v>88</v>
      </c>
      <c r="C366" s="134" t="s">
        <v>461</v>
      </c>
      <c r="D366" s="134">
        <v>3</v>
      </c>
      <c r="E366" s="134" t="b">
        <v>0</v>
      </c>
      <c r="F366" s="134">
        <v>200</v>
      </c>
      <c r="G366" s="134" t="s">
        <v>127</v>
      </c>
      <c r="H366" s="137">
        <v>3</v>
      </c>
      <c r="I366" s="137">
        <v>0.2</v>
      </c>
      <c r="J366" s="134" t="s">
        <v>223</v>
      </c>
      <c r="K366" s="134" t="s">
        <v>129</v>
      </c>
      <c r="L366" s="134"/>
      <c r="M366" s="134">
        <v>0</v>
      </c>
      <c r="N366" s="134">
        <v>0</v>
      </c>
      <c r="O366" s="134">
        <v>5</v>
      </c>
      <c r="P366" s="134">
        <v>6</v>
      </c>
      <c r="Q366" s="140">
        <v>0</v>
      </c>
      <c r="R366" s="139">
        <v>5</v>
      </c>
      <c r="S366" s="134">
        <v>230</v>
      </c>
      <c r="T366" s="134">
        <v>5500</v>
      </c>
      <c r="U366" s="134">
        <v>40</v>
      </c>
      <c r="V366" s="140">
        <v>20</v>
      </c>
      <c r="W366" s="15"/>
    </row>
    <row r="367" spans="1:23" ht="17.100000000000001" customHeight="1" x14ac:dyDescent="0.3">
      <c r="A367" s="139">
        <v>10330</v>
      </c>
      <c r="B367" s="135" t="s">
        <v>88</v>
      </c>
      <c r="C367" s="134" t="s">
        <v>462</v>
      </c>
      <c r="D367" s="134">
        <v>3</v>
      </c>
      <c r="E367" s="134" t="b">
        <v>0</v>
      </c>
      <c r="F367" s="134">
        <v>190</v>
      </c>
      <c r="G367" s="134" t="s">
        <v>127</v>
      </c>
      <c r="H367" s="137">
        <v>3</v>
      </c>
      <c r="I367" s="137">
        <v>0.2</v>
      </c>
      <c r="J367" s="134" t="s">
        <v>243</v>
      </c>
      <c r="K367" s="134" t="s">
        <v>129</v>
      </c>
      <c r="L367" s="134"/>
      <c r="M367" s="134">
        <v>0</v>
      </c>
      <c r="N367" s="134">
        <v>0</v>
      </c>
      <c r="O367" s="134">
        <v>4</v>
      </c>
      <c r="P367" s="134">
        <v>4</v>
      </c>
      <c r="Q367" s="140">
        <v>0</v>
      </c>
      <c r="R367" s="139">
        <v>5</v>
      </c>
      <c r="S367" s="134">
        <v>230</v>
      </c>
      <c r="T367" s="134">
        <v>5500</v>
      </c>
      <c r="U367" s="134">
        <v>40</v>
      </c>
      <c r="V367" s="140">
        <v>20</v>
      </c>
      <c r="W367" s="15"/>
    </row>
    <row r="368" spans="1:23" ht="17.100000000000001" customHeight="1" x14ac:dyDescent="0.3">
      <c r="A368" s="139">
        <v>10331</v>
      </c>
      <c r="B368" s="135" t="s">
        <v>88</v>
      </c>
      <c r="C368" s="134" t="s">
        <v>463</v>
      </c>
      <c r="D368" s="134">
        <v>3</v>
      </c>
      <c r="E368" s="134" t="b">
        <v>0</v>
      </c>
      <c r="F368" s="134">
        <v>200</v>
      </c>
      <c r="G368" s="134" t="s">
        <v>127</v>
      </c>
      <c r="H368" s="137">
        <v>3</v>
      </c>
      <c r="I368" s="137">
        <v>0.2</v>
      </c>
      <c r="J368" s="134" t="s">
        <v>223</v>
      </c>
      <c r="K368" s="134" t="s">
        <v>129</v>
      </c>
      <c r="L368" s="134"/>
      <c r="M368" s="134">
        <v>0</v>
      </c>
      <c r="N368" s="134">
        <v>0</v>
      </c>
      <c r="O368" s="134">
        <v>5</v>
      </c>
      <c r="P368" s="134">
        <v>6</v>
      </c>
      <c r="Q368" s="140">
        <v>0</v>
      </c>
      <c r="R368" s="139">
        <v>5</v>
      </c>
      <c r="S368" s="134">
        <v>230</v>
      </c>
      <c r="T368" s="134">
        <v>5500</v>
      </c>
      <c r="U368" s="134">
        <v>40</v>
      </c>
      <c r="V368" s="140">
        <v>20</v>
      </c>
      <c r="W368" s="15"/>
    </row>
    <row r="369" spans="1:23" ht="17.100000000000001" customHeight="1" x14ac:dyDescent="0.3">
      <c r="A369" s="139">
        <v>10332</v>
      </c>
      <c r="B369" s="135" t="s">
        <v>88</v>
      </c>
      <c r="C369" s="134" t="s">
        <v>464</v>
      </c>
      <c r="D369" s="134">
        <v>3</v>
      </c>
      <c r="E369" s="134" t="b">
        <v>0</v>
      </c>
      <c r="F369" s="134">
        <v>170</v>
      </c>
      <c r="G369" s="134" t="s">
        <v>127</v>
      </c>
      <c r="H369" s="137">
        <v>3</v>
      </c>
      <c r="I369" s="137">
        <v>0.3</v>
      </c>
      <c r="J369" s="134" t="s">
        <v>148</v>
      </c>
      <c r="K369" s="134" t="s">
        <v>129</v>
      </c>
      <c r="L369" s="134"/>
      <c r="M369" s="134">
        <v>0</v>
      </c>
      <c r="N369" s="134">
        <v>0</v>
      </c>
      <c r="O369" s="134">
        <v>2</v>
      </c>
      <c r="P369" s="134">
        <v>2</v>
      </c>
      <c r="Q369" s="140">
        <v>0</v>
      </c>
      <c r="R369" s="139">
        <v>5</v>
      </c>
      <c r="S369" s="134">
        <v>170</v>
      </c>
      <c r="T369" s="134">
        <v>3500</v>
      </c>
      <c r="U369" s="134">
        <v>25</v>
      </c>
      <c r="V369" s="140">
        <v>10</v>
      </c>
      <c r="W369" s="15"/>
    </row>
    <row r="370" spans="1:23" ht="17.100000000000001" customHeight="1" x14ac:dyDescent="0.3">
      <c r="A370" s="139">
        <v>10333</v>
      </c>
      <c r="B370" s="135" t="s">
        <v>88</v>
      </c>
      <c r="C370" s="134" t="s">
        <v>465</v>
      </c>
      <c r="D370" s="134">
        <v>3</v>
      </c>
      <c r="E370" s="134" t="b">
        <v>0</v>
      </c>
      <c r="F370" s="134">
        <v>200</v>
      </c>
      <c r="G370" s="134" t="s">
        <v>127</v>
      </c>
      <c r="H370" s="137">
        <v>3</v>
      </c>
      <c r="I370" s="137">
        <v>0.2</v>
      </c>
      <c r="J370" s="134" t="s">
        <v>223</v>
      </c>
      <c r="K370" s="134" t="s">
        <v>129</v>
      </c>
      <c r="L370" s="134"/>
      <c r="M370" s="134">
        <v>0</v>
      </c>
      <c r="N370" s="134">
        <v>0</v>
      </c>
      <c r="O370" s="134">
        <v>5</v>
      </c>
      <c r="P370" s="134">
        <v>6</v>
      </c>
      <c r="Q370" s="140">
        <v>0</v>
      </c>
      <c r="R370" s="139">
        <v>5</v>
      </c>
      <c r="S370" s="134">
        <v>230</v>
      </c>
      <c r="T370" s="134">
        <v>5500</v>
      </c>
      <c r="U370" s="134">
        <v>40</v>
      </c>
      <c r="V370" s="140">
        <v>20</v>
      </c>
      <c r="W370" s="15"/>
    </row>
    <row r="371" spans="1:23" ht="17.100000000000001" customHeight="1" x14ac:dyDescent="0.3">
      <c r="A371" s="139">
        <v>10334</v>
      </c>
      <c r="B371" s="135" t="s">
        <v>88</v>
      </c>
      <c r="C371" s="134" t="s">
        <v>466</v>
      </c>
      <c r="D371" s="134">
        <v>3</v>
      </c>
      <c r="E371" s="134" t="b">
        <v>0</v>
      </c>
      <c r="F371" s="134">
        <v>180</v>
      </c>
      <c r="G371" s="134" t="s">
        <v>127</v>
      </c>
      <c r="H371" s="137">
        <v>3</v>
      </c>
      <c r="I371" s="137">
        <v>0.2</v>
      </c>
      <c r="J371" s="134" t="s">
        <v>189</v>
      </c>
      <c r="K371" s="134" t="s">
        <v>129</v>
      </c>
      <c r="L371" s="134"/>
      <c r="M371" s="134">
        <v>0</v>
      </c>
      <c r="N371" s="134">
        <v>0</v>
      </c>
      <c r="O371" s="134">
        <v>3</v>
      </c>
      <c r="P371" s="134">
        <v>3</v>
      </c>
      <c r="Q371" s="140">
        <v>0</v>
      </c>
      <c r="R371" s="139">
        <v>5</v>
      </c>
      <c r="S371" s="134">
        <v>230</v>
      </c>
      <c r="T371" s="134">
        <v>5500</v>
      </c>
      <c r="U371" s="134">
        <v>40</v>
      </c>
      <c r="V371" s="140">
        <v>20</v>
      </c>
      <c r="W371" s="15"/>
    </row>
    <row r="372" spans="1:23" ht="17.100000000000001" customHeight="1" x14ac:dyDescent="0.3">
      <c r="A372" s="139">
        <v>10335</v>
      </c>
      <c r="B372" s="135" t="s">
        <v>88</v>
      </c>
      <c r="C372" s="134" t="s">
        <v>467</v>
      </c>
      <c r="D372" s="134">
        <v>3</v>
      </c>
      <c r="E372" s="134" t="b">
        <v>0</v>
      </c>
      <c r="F372" s="134">
        <v>165</v>
      </c>
      <c r="G372" s="134" t="s">
        <v>127</v>
      </c>
      <c r="H372" s="137">
        <v>3</v>
      </c>
      <c r="I372" s="137">
        <v>0.3</v>
      </c>
      <c r="J372" s="134" t="s">
        <v>252</v>
      </c>
      <c r="K372" s="134" t="s">
        <v>129</v>
      </c>
      <c r="L372" s="134"/>
      <c r="M372" s="134">
        <v>0</v>
      </c>
      <c r="N372" s="134">
        <v>0</v>
      </c>
      <c r="O372" s="134">
        <v>1</v>
      </c>
      <c r="P372" s="134">
        <v>2</v>
      </c>
      <c r="Q372" s="140">
        <v>0</v>
      </c>
      <c r="R372" s="139">
        <v>5</v>
      </c>
      <c r="S372" s="134">
        <v>170</v>
      </c>
      <c r="T372" s="134">
        <v>3500</v>
      </c>
      <c r="U372" s="134">
        <v>25</v>
      </c>
      <c r="V372" s="140">
        <v>10</v>
      </c>
      <c r="W372" s="15"/>
    </row>
    <row r="373" spans="1:23" ht="17.100000000000001" customHeight="1" x14ac:dyDescent="0.3">
      <c r="A373" s="139">
        <v>10336</v>
      </c>
      <c r="B373" s="135" t="s">
        <v>88</v>
      </c>
      <c r="C373" s="134" t="s">
        <v>468</v>
      </c>
      <c r="D373" s="134">
        <v>3</v>
      </c>
      <c r="E373" s="134" t="b">
        <v>0</v>
      </c>
      <c r="F373" s="134">
        <v>155</v>
      </c>
      <c r="G373" s="134" t="s">
        <v>127</v>
      </c>
      <c r="H373" s="134" t="s">
        <v>112</v>
      </c>
      <c r="I373" s="137">
        <v>0.4</v>
      </c>
      <c r="J373" s="134" t="s">
        <v>264</v>
      </c>
      <c r="K373" s="134" t="s">
        <v>129</v>
      </c>
      <c r="L373" s="134"/>
      <c r="M373" s="134">
        <v>0</v>
      </c>
      <c r="N373" s="134">
        <v>0</v>
      </c>
      <c r="O373" s="134">
        <v>0</v>
      </c>
      <c r="P373" s="134">
        <v>1</v>
      </c>
      <c r="Q373" s="140">
        <v>0</v>
      </c>
      <c r="R373" s="139">
        <v>5</v>
      </c>
      <c r="S373" s="134">
        <v>170</v>
      </c>
      <c r="T373" s="134">
        <v>3500</v>
      </c>
      <c r="U373" s="134">
        <v>25</v>
      </c>
      <c r="V373" s="140">
        <v>10</v>
      </c>
      <c r="W373" s="15"/>
    </row>
    <row r="374" spans="1:23" ht="17.100000000000001" customHeight="1" x14ac:dyDescent="0.3">
      <c r="A374" s="139">
        <v>10337</v>
      </c>
      <c r="B374" s="135" t="s">
        <v>88</v>
      </c>
      <c r="C374" s="134" t="s">
        <v>469</v>
      </c>
      <c r="D374" s="134">
        <v>3</v>
      </c>
      <c r="E374" s="134" t="b">
        <v>0</v>
      </c>
      <c r="F374" s="134">
        <v>155</v>
      </c>
      <c r="G374" s="134" t="s">
        <v>127</v>
      </c>
      <c r="H374" s="134" t="s">
        <v>112</v>
      </c>
      <c r="I374" s="137">
        <v>0.4</v>
      </c>
      <c r="J374" s="134" t="s">
        <v>264</v>
      </c>
      <c r="K374" s="134" t="s">
        <v>129</v>
      </c>
      <c r="L374" s="134"/>
      <c r="M374" s="134">
        <v>0</v>
      </c>
      <c r="N374" s="134">
        <v>0</v>
      </c>
      <c r="O374" s="134">
        <v>0</v>
      </c>
      <c r="P374" s="134">
        <v>1</v>
      </c>
      <c r="Q374" s="140">
        <v>0</v>
      </c>
      <c r="R374" s="139">
        <v>5</v>
      </c>
      <c r="S374" s="134">
        <v>170</v>
      </c>
      <c r="T374" s="134">
        <v>3500</v>
      </c>
      <c r="U374" s="134">
        <v>25</v>
      </c>
      <c r="V374" s="140">
        <v>10</v>
      </c>
      <c r="W374" s="15"/>
    </row>
    <row r="375" spans="1:23" ht="17.100000000000001" customHeight="1" x14ac:dyDescent="0.3">
      <c r="A375" s="139">
        <v>10338</v>
      </c>
      <c r="B375" s="135" t="s">
        <v>88</v>
      </c>
      <c r="C375" s="134" t="s">
        <v>470</v>
      </c>
      <c r="D375" s="134">
        <v>3</v>
      </c>
      <c r="E375" s="134" t="b">
        <v>0</v>
      </c>
      <c r="F375" s="134">
        <v>190</v>
      </c>
      <c r="G375" s="134" t="s">
        <v>127</v>
      </c>
      <c r="H375" s="137">
        <v>3</v>
      </c>
      <c r="I375" s="137">
        <v>0.2</v>
      </c>
      <c r="J375" s="134" t="s">
        <v>243</v>
      </c>
      <c r="K375" s="134" t="s">
        <v>129</v>
      </c>
      <c r="L375" s="134"/>
      <c r="M375" s="134">
        <v>0</v>
      </c>
      <c r="N375" s="134">
        <v>0</v>
      </c>
      <c r="O375" s="134">
        <v>4</v>
      </c>
      <c r="P375" s="134">
        <v>4</v>
      </c>
      <c r="Q375" s="140">
        <v>0</v>
      </c>
      <c r="R375" s="139">
        <v>5</v>
      </c>
      <c r="S375" s="134">
        <v>230</v>
      </c>
      <c r="T375" s="134">
        <v>5500</v>
      </c>
      <c r="U375" s="134">
        <v>40</v>
      </c>
      <c r="V375" s="140">
        <v>20</v>
      </c>
      <c r="W375" s="15"/>
    </row>
    <row r="376" spans="1:23" ht="17.100000000000001" customHeight="1" x14ac:dyDescent="0.3">
      <c r="A376" s="139">
        <v>10339</v>
      </c>
      <c r="B376" s="135" t="s">
        <v>88</v>
      </c>
      <c r="C376" s="134" t="s">
        <v>471</v>
      </c>
      <c r="D376" s="134">
        <v>3</v>
      </c>
      <c r="E376" s="134" t="b">
        <v>0</v>
      </c>
      <c r="F376" s="134">
        <v>165</v>
      </c>
      <c r="G376" s="134" t="s">
        <v>127</v>
      </c>
      <c r="H376" s="134" t="s">
        <v>112</v>
      </c>
      <c r="I376" s="137">
        <v>0.3</v>
      </c>
      <c r="J376" s="134" t="s">
        <v>252</v>
      </c>
      <c r="K376" s="134" t="s">
        <v>129</v>
      </c>
      <c r="L376" s="134"/>
      <c r="M376" s="134">
        <v>0</v>
      </c>
      <c r="N376" s="134">
        <v>0</v>
      </c>
      <c r="O376" s="134">
        <v>1</v>
      </c>
      <c r="P376" s="134">
        <v>2</v>
      </c>
      <c r="Q376" s="140">
        <v>0</v>
      </c>
      <c r="R376" s="139">
        <v>5</v>
      </c>
      <c r="S376" s="134">
        <v>170</v>
      </c>
      <c r="T376" s="134">
        <v>3500</v>
      </c>
      <c r="U376" s="134">
        <v>25</v>
      </c>
      <c r="V376" s="140">
        <v>10</v>
      </c>
      <c r="W376" s="15"/>
    </row>
    <row r="377" spans="1:23" ht="17.100000000000001" customHeight="1" x14ac:dyDescent="0.3">
      <c r="A377" s="139">
        <v>10340</v>
      </c>
      <c r="B377" s="135" t="s">
        <v>88</v>
      </c>
      <c r="C377" s="134" t="s">
        <v>472</v>
      </c>
      <c r="D377" s="134">
        <v>3</v>
      </c>
      <c r="E377" s="134" t="b">
        <v>0</v>
      </c>
      <c r="F377" s="134">
        <v>165</v>
      </c>
      <c r="G377" s="134" t="s">
        <v>127</v>
      </c>
      <c r="H377" s="137">
        <v>3</v>
      </c>
      <c r="I377" s="137">
        <v>0.3</v>
      </c>
      <c r="J377" s="134" t="s">
        <v>252</v>
      </c>
      <c r="K377" s="134" t="s">
        <v>129</v>
      </c>
      <c r="L377" s="134"/>
      <c r="M377" s="134">
        <v>0</v>
      </c>
      <c r="N377" s="134">
        <v>0</v>
      </c>
      <c r="O377" s="134">
        <v>1</v>
      </c>
      <c r="P377" s="134">
        <v>2</v>
      </c>
      <c r="Q377" s="140">
        <v>0</v>
      </c>
      <c r="R377" s="139">
        <v>5</v>
      </c>
      <c r="S377" s="134">
        <v>170</v>
      </c>
      <c r="T377" s="134">
        <v>3500</v>
      </c>
      <c r="U377" s="134">
        <v>25</v>
      </c>
      <c r="V377" s="140">
        <v>10</v>
      </c>
      <c r="W377" s="15"/>
    </row>
    <row r="378" spans="1:23" ht="17.100000000000001" customHeight="1" x14ac:dyDescent="0.3">
      <c r="A378" s="139">
        <v>10341</v>
      </c>
      <c r="B378" s="135" t="s">
        <v>88</v>
      </c>
      <c r="C378" s="134" t="s">
        <v>473</v>
      </c>
      <c r="D378" s="134">
        <v>3</v>
      </c>
      <c r="E378" s="134" t="b">
        <v>0</v>
      </c>
      <c r="F378" s="134">
        <v>170</v>
      </c>
      <c r="G378" s="134" t="s">
        <v>127</v>
      </c>
      <c r="H378" s="137">
        <v>3</v>
      </c>
      <c r="I378" s="137">
        <v>0.3</v>
      </c>
      <c r="J378" s="134" t="s">
        <v>148</v>
      </c>
      <c r="K378" s="134" t="s">
        <v>129</v>
      </c>
      <c r="L378" s="134"/>
      <c r="M378" s="134">
        <v>0</v>
      </c>
      <c r="N378" s="134">
        <v>0</v>
      </c>
      <c r="O378" s="134">
        <v>2</v>
      </c>
      <c r="P378" s="134">
        <v>2</v>
      </c>
      <c r="Q378" s="140">
        <v>0</v>
      </c>
      <c r="R378" s="139">
        <v>5</v>
      </c>
      <c r="S378" s="134">
        <v>170</v>
      </c>
      <c r="T378" s="134">
        <v>3500</v>
      </c>
      <c r="U378" s="134">
        <v>25</v>
      </c>
      <c r="V378" s="140">
        <v>10</v>
      </c>
      <c r="W378" s="15"/>
    </row>
    <row r="379" spans="1:23" ht="17.100000000000001" customHeight="1" x14ac:dyDescent="0.3">
      <c r="A379" s="139">
        <v>10342</v>
      </c>
      <c r="B379" s="135" t="s">
        <v>88</v>
      </c>
      <c r="C379" s="134" t="s">
        <v>474</v>
      </c>
      <c r="D379" s="134">
        <v>3</v>
      </c>
      <c r="E379" s="134" t="b">
        <v>0</v>
      </c>
      <c r="F379" s="134">
        <v>100</v>
      </c>
      <c r="G379" s="134" t="s">
        <v>127</v>
      </c>
      <c r="H379" s="137">
        <v>2</v>
      </c>
      <c r="I379" s="137">
        <v>0.5</v>
      </c>
      <c r="J379" s="134" t="s">
        <v>146</v>
      </c>
      <c r="K379" s="134" t="s">
        <v>137</v>
      </c>
      <c r="L379" s="134"/>
      <c r="M379" s="134">
        <v>0</v>
      </c>
      <c r="N379" s="134">
        <v>0</v>
      </c>
      <c r="O379" s="134">
        <v>0</v>
      </c>
      <c r="P379" s="134">
        <v>0</v>
      </c>
      <c r="Q379" s="140">
        <v>0</v>
      </c>
      <c r="R379" s="139">
        <v>5</v>
      </c>
      <c r="S379" s="134">
        <v>80</v>
      </c>
      <c r="T379" s="134">
        <v>1000</v>
      </c>
      <c r="U379" s="134">
        <v>10</v>
      </c>
      <c r="V379" s="140">
        <v>0</v>
      </c>
      <c r="W379" s="15"/>
    </row>
    <row r="380" spans="1:23" ht="17.100000000000001" customHeight="1" x14ac:dyDescent="0.3">
      <c r="A380" s="139">
        <v>10343</v>
      </c>
      <c r="B380" s="135" t="s">
        <v>88</v>
      </c>
      <c r="C380" s="134" t="s">
        <v>475</v>
      </c>
      <c r="D380" s="134">
        <v>3</v>
      </c>
      <c r="E380" s="134" t="b">
        <v>0</v>
      </c>
      <c r="F380" s="134">
        <v>150</v>
      </c>
      <c r="G380" s="134" t="s">
        <v>127</v>
      </c>
      <c r="H380" s="134" t="s">
        <v>112</v>
      </c>
      <c r="I380" s="137">
        <v>0.4</v>
      </c>
      <c r="J380" s="134" t="s">
        <v>134</v>
      </c>
      <c r="K380" s="134" t="s">
        <v>129</v>
      </c>
      <c r="L380" s="134"/>
      <c r="M380" s="134">
        <v>0</v>
      </c>
      <c r="N380" s="134">
        <v>0</v>
      </c>
      <c r="O380" s="134">
        <v>0</v>
      </c>
      <c r="P380" s="134">
        <v>1</v>
      </c>
      <c r="Q380" s="140">
        <v>0</v>
      </c>
      <c r="R380" s="139">
        <v>5</v>
      </c>
      <c r="S380" s="134">
        <v>170</v>
      </c>
      <c r="T380" s="134">
        <v>3500</v>
      </c>
      <c r="U380" s="134">
        <v>25</v>
      </c>
      <c r="V380" s="140">
        <v>10</v>
      </c>
      <c r="W380" s="15"/>
    </row>
    <row r="381" spans="1:23" ht="17.100000000000001" customHeight="1" x14ac:dyDescent="0.3">
      <c r="A381" s="139">
        <v>10344</v>
      </c>
      <c r="B381" s="135" t="s">
        <v>88</v>
      </c>
      <c r="C381" s="134" t="s">
        <v>476</v>
      </c>
      <c r="D381" s="134">
        <v>3</v>
      </c>
      <c r="E381" s="134" t="b">
        <v>0</v>
      </c>
      <c r="F381" s="134">
        <v>155</v>
      </c>
      <c r="G381" s="134" t="s">
        <v>127</v>
      </c>
      <c r="H381" s="134" t="s">
        <v>112</v>
      </c>
      <c r="I381" s="137">
        <v>0.4</v>
      </c>
      <c r="J381" s="134" t="s">
        <v>264</v>
      </c>
      <c r="K381" s="134" t="s">
        <v>129</v>
      </c>
      <c r="L381" s="134"/>
      <c r="M381" s="134">
        <v>0</v>
      </c>
      <c r="N381" s="134">
        <v>0</v>
      </c>
      <c r="O381" s="134">
        <v>1</v>
      </c>
      <c r="P381" s="134">
        <v>1</v>
      </c>
      <c r="Q381" s="140">
        <v>0</v>
      </c>
      <c r="R381" s="139">
        <v>5</v>
      </c>
      <c r="S381" s="134">
        <v>170</v>
      </c>
      <c r="T381" s="134">
        <v>3500</v>
      </c>
      <c r="U381" s="134">
        <v>25</v>
      </c>
      <c r="V381" s="140">
        <v>10</v>
      </c>
      <c r="W381" s="15"/>
    </row>
    <row r="382" spans="1:23" ht="17.100000000000001" customHeight="1" x14ac:dyDescent="0.3">
      <c r="A382" s="139">
        <v>10345</v>
      </c>
      <c r="B382" s="135" t="s">
        <v>88</v>
      </c>
      <c r="C382" s="134" t="s">
        <v>477</v>
      </c>
      <c r="D382" s="134">
        <v>3</v>
      </c>
      <c r="E382" s="134" t="b">
        <v>0</v>
      </c>
      <c r="F382" s="134">
        <v>180</v>
      </c>
      <c r="G382" s="134" t="s">
        <v>127</v>
      </c>
      <c r="H382" s="137">
        <v>3</v>
      </c>
      <c r="I382" s="137">
        <v>0.2</v>
      </c>
      <c r="J382" s="134" t="s">
        <v>189</v>
      </c>
      <c r="K382" s="134" t="s">
        <v>129</v>
      </c>
      <c r="L382" s="134"/>
      <c r="M382" s="134">
        <v>0</v>
      </c>
      <c r="N382" s="134">
        <v>0</v>
      </c>
      <c r="O382" s="134">
        <v>3</v>
      </c>
      <c r="P382" s="134">
        <v>3</v>
      </c>
      <c r="Q382" s="140">
        <v>0</v>
      </c>
      <c r="R382" s="139">
        <v>5</v>
      </c>
      <c r="S382" s="134">
        <v>230</v>
      </c>
      <c r="T382" s="134">
        <v>5500</v>
      </c>
      <c r="U382" s="134">
        <v>40</v>
      </c>
      <c r="V382" s="140">
        <v>20</v>
      </c>
      <c r="W382" s="15"/>
    </row>
    <row r="383" spans="1:23" ht="17.100000000000001" customHeight="1" x14ac:dyDescent="0.3">
      <c r="A383" s="139">
        <v>10346</v>
      </c>
      <c r="B383" s="135" t="s">
        <v>88</v>
      </c>
      <c r="C383" s="134" t="s">
        <v>478</v>
      </c>
      <c r="D383" s="134">
        <v>3</v>
      </c>
      <c r="E383" s="134" t="b">
        <v>0</v>
      </c>
      <c r="F383" s="134">
        <v>195</v>
      </c>
      <c r="G383" s="134" t="s">
        <v>127</v>
      </c>
      <c r="H383" s="137">
        <v>3</v>
      </c>
      <c r="I383" s="137">
        <v>0.2</v>
      </c>
      <c r="J383" s="134" t="s">
        <v>128</v>
      </c>
      <c r="K383" s="134" t="s">
        <v>129</v>
      </c>
      <c r="L383" s="134"/>
      <c r="M383" s="134">
        <v>0</v>
      </c>
      <c r="N383" s="134">
        <v>0</v>
      </c>
      <c r="O383" s="134">
        <v>5</v>
      </c>
      <c r="P383" s="134">
        <v>5</v>
      </c>
      <c r="Q383" s="140">
        <v>0</v>
      </c>
      <c r="R383" s="139">
        <v>5</v>
      </c>
      <c r="S383" s="134">
        <v>230</v>
      </c>
      <c r="T383" s="134">
        <v>5500</v>
      </c>
      <c r="U383" s="134">
        <v>40</v>
      </c>
      <c r="V383" s="140">
        <v>20</v>
      </c>
      <c r="W383" s="15"/>
    </row>
    <row r="384" spans="1:23" ht="17.100000000000001" customHeight="1" x14ac:dyDescent="0.3">
      <c r="A384" s="139">
        <v>10347</v>
      </c>
      <c r="B384" s="135" t="s">
        <v>88</v>
      </c>
      <c r="C384" s="134" t="s">
        <v>479</v>
      </c>
      <c r="D384" s="134">
        <v>3</v>
      </c>
      <c r="E384" s="134" t="b">
        <v>0</v>
      </c>
      <c r="F384" s="134">
        <v>150</v>
      </c>
      <c r="G384" s="134" t="s">
        <v>127</v>
      </c>
      <c r="H384" s="134" t="s">
        <v>112</v>
      </c>
      <c r="I384" s="137">
        <v>0.4</v>
      </c>
      <c r="J384" s="134" t="s">
        <v>134</v>
      </c>
      <c r="K384" s="134" t="s">
        <v>129</v>
      </c>
      <c r="L384" s="134"/>
      <c r="M384" s="134">
        <v>0</v>
      </c>
      <c r="N384" s="134">
        <v>0</v>
      </c>
      <c r="O384" s="134">
        <v>0</v>
      </c>
      <c r="P384" s="134">
        <v>1</v>
      </c>
      <c r="Q384" s="140">
        <v>0</v>
      </c>
      <c r="R384" s="139">
        <v>5</v>
      </c>
      <c r="S384" s="134">
        <v>170</v>
      </c>
      <c r="T384" s="134">
        <v>3500</v>
      </c>
      <c r="U384" s="134">
        <v>25</v>
      </c>
      <c r="V384" s="140">
        <v>10</v>
      </c>
      <c r="W384" s="15"/>
    </row>
    <row r="385" spans="1:23" ht="17.100000000000001" customHeight="1" x14ac:dyDescent="0.3">
      <c r="A385" s="139">
        <v>10348</v>
      </c>
      <c r="B385" s="135" t="s">
        <v>88</v>
      </c>
      <c r="C385" s="134" t="s">
        <v>480</v>
      </c>
      <c r="D385" s="134">
        <v>3</v>
      </c>
      <c r="E385" s="134" t="b">
        <v>0</v>
      </c>
      <c r="F385" s="134">
        <v>175</v>
      </c>
      <c r="G385" s="134" t="s">
        <v>127</v>
      </c>
      <c r="H385" s="137">
        <v>3</v>
      </c>
      <c r="I385" s="137">
        <v>0.3</v>
      </c>
      <c r="J385" s="134" t="s">
        <v>131</v>
      </c>
      <c r="K385" s="134" t="s">
        <v>129</v>
      </c>
      <c r="L385" s="134"/>
      <c r="M385" s="134">
        <v>0</v>
      </c>
      <c r="N385" s="134">
        <v>0</v>
      </c>
      <c r="O385" s="134">
        <v>2</v>
      </c>
      <c r="P385" s="134">
        <v>3</v>
      </c>
      <c r="Q385" s="140">
        <v>0</v>
      </c>
      <c r="R385" s="139">
        <v>5</v>
      </c>
      <c r="S385" s="134">
        <v>230</v>
      </c>
      <c r="T385" s="134">
        <v>5500</v>
      </c>
      <c r="U385" s="134">
        <v>40</v>
      </c>
      <c r="V385" s="140">
        <v>20</v>
      </c>
      <c r="W385" s="15"/>
    </row>
    <row r="386" spans="1:23" ht="17.100000000000001" customHeight="1" x14ac:dyDescent="0.3">
      <c r="A386" s="139">
        <v>10349</v>
      </c>
      <c r="B386" s="135" t="s">
        <v>88</v>
      </c>
      <c r="C386" s="134" t="s">
        <v>481</v>
      </c>
      <c r="D386" s="134">
        <v>3</v>
      </c>
      <c r="E386" s="134" t="b">
        <v>0</v>
      </c>
      <c r="F386" s="134">
        <v>150</v>
      </c>
      <c r="G386" s="134" t="s">
        <v>127</v>
      </c>
      <c r="H386" s="134" t="s">
        <v>112</v>
      </c>
      <c r="I386" s="137">
        <v>0.4</v>
      </c>
      <c r="J386" s="134" t="s">
        <v>207</v>
      </c>
      <c r="K386" s="134" t="s">
        <v>137</v>
      </c>
      <c r="L386" s="134"/>
      <c r="M386" s="134">
        <v>0</v>
      </c>
      <c r="N386" s="134">
        <v>0</v>
      </c>
      <c r="O386" s="134">
        <v>0</v>
      </c>
      <c r="P386" s="134">
        <v>1</v>
      </c>
      <c r="Q386" s="140">
        <v>0</v>
      </c>
      <c r="R386" s="139">
        <v>5</v>
      </c>
      <c r="S386" s="134">
        <v>120</v>
      </c>
      <c r="T386" s="134">
        <v>2000</v>
      </c>
      <c r="U386" s="134">
        <v>15</v>
      </c>
      <c r="V386" s="140">
        <v>5</v>
      </c>
      <c r="W386" s="15"/>
    </row>
    <row r="387" spans="1:23" ht="17.100000000000001" customHeight="1" x14ac:dyDescent="0.3">
      <c r="A387" s="139">
        <v>10350</v>
      </c>
      <c r="B387" s="135" t="s">
        <v>88</v>
      </c>
      <c r="C387" s="134" t="s">
        <v>482</v>
      </c>
      <c r="D387" s="134">
        <v>3</v>
      </c>
      <c r="E387" s="134" t="b">
        <v>0</v>
      </c>
      <c r="F387" s="134">
        <v>180</v>
      </c>
      <c r="G387" s="134" t="s">
        <v>127</v>
      </c>
      <c r="H387" s="137">
        <v>3</v>
      </c>
      <c r="I387" s="137">
        <v>0.2</v>
      </c>
      <c r="J387" s="134" t="s">
        <v>189</v>
      </c>
      <c r="K387" s="134" t="s">
        <v>129</v>
      </c>
      <c r="L387" s="134"/>
      <c r="M387" s="134">
        <v>0</v>
      </c>
      <c r="N387" s="134">
        <v>0</v>
      </c>
      <c r="O387" s="134">
        <v>3</v>
      </c>
      <c r="P387" s="134">
        <v>3</v>
      </c>
      <c r="Q387" s="140">
        <v>0</v>
      </c>
      <c r="R387" s="139">
        <v>5</v>
      </c>
      <c r="S387" s="134">
        <v>230</v>
      </c>
      <c r="T387" s="134">
        <v>5500</v>
      </c>
      <c r="U387" s="134">
        <v>40</v>
      </c>
      <c r="V387" s="140">
        <v>20</v>
      </c>
      <c r="W387" s="15"/>
    </row>
    <row r="388" spans="1:23" ht="17.100000000000001" customHeight="1" x14ac:dyDescent="0.3">
      <c r="A388" s="139">
        <v>10351</v>
      </c>
      <c r="B388" s="135" t="s">
        <v>88</v>
      </c>
      <c r="C388" s="134" t="s">
        <v>483</v>
      </c>
      <c r="D388" s="134">
        <v>3</v>
      </c>
      <c r="E388" s="134" t="b">
        <v>0</v>
      </c>
      <c r="F388" s="134">
        <v>185</v>
      </c>
      <c r="G388" s="134" t="s">
        <v>127</v>
      </c>
      <c r="H388" s="137">
        <v>3</v>
      </c>
      <c r="I388" s="137">
        <v>0.2</v>
      </c>
      <c r="J388" s="134" t="s">
        <v>142</v>
      </c>
      <c r="K388" s="134" t="s">
        <v>129</v>
      </c>
      <c r="L388" s="134"/>
      <c r="M388" s="134">
        <v>0</v>
      </c>
      <c r="N388" s="134">
        <v>0</v>
      </c>
      <c r="O388" s="134">
        <v>4</v>
      </c>
      <c r="P388" s="134">
        <v>4</v>
      </c>
      <c r="Q388" s="140">
        <v>0</v>
      </c>
      <c r="R388" s="139">
        <v>5</v>
      </c>
      <c r="S388" s="134">
        <v>230</v>
      </c>
      <c r="T388" s="134">
        <v>5500</v>
      </c>
      <c r="U388" s="134">
        <v>40</v>
      </c>
      <c r="V388" s="140">
        <v>20</v>
      </c>
      <c r="W388" s="15"/>
    </row>
    <row r="389" spans="1:23" ht="17.100000000000001" customHeight="1" x14ac:dyDescent="0.3">
      <c r="A389" s="139">
        <v>10352</v>
      </c>
      <c r="B389" s="135" t="s">
        <v>88</v>
      </c>
      <c r="C389" s="134" t="s">
        <v>484</v>
      </c>
      <c r="D389" s="134">
        <v>3</v>
      </c>
      <c r="E389" s="134" t="b">
        <v>0</v>
      </c>
      <c r="F389" s="134">
        <v>135</v>
      </c>
      <c r="G389" s="134" t="s">
        <v>127</v>
      </c>
      <c r="H389" s="134" t="s">
        <v>112</v>
      </c>
      <c r="I389" s="137">
        <v>0.4</v>
      </c>
      <c r="J389" s="134" t="s">
        <v>136</v>
      </c>
      <c r="K389" s="134" t="s">
        <v>137</v>
      </c>
      <c r="L389" s="134"/>
      <c r="M389" s="134">
        <v>0</v>
      </c>
      <c r="N389" s="134">
        <v>0</v>
      </c>
      <c r="O389" s="134">
        <v>0</v>
      </c>
      <c r="P389" s="134">
        <v>0</v>
      </c>
      <c r="Q389" s="140">
        <v>0</v>
      </c>
      <c r="R389" s="139">
        <v>5</v>
      </c>
      <c r="S389" s="134">
        <v>120</v>
      </c>
      <c r="T389" s="134">
        <v>2000</v>
      </c>
      <c r="U389" s="134">
        <v>15</v>
      </c>
      <c r="V389" s="140">
        <v>5</v>
      </c>
      <c r="W389" s="15"/>
    </row>
    <row r="390" spans="1:23" ht="17.100000000000001" customHeight="1" x14ac:dyDescent="0.3">
      <c r="A390" s="139">
        <v>10353</v>
      </c>
      <c r="B390" s="135" t="s">
        <v>88</v>
      </c>
      <c r="C390" s="134" t="s">
        <v>485</v>
      </c>
      <c r="D390" s="134">
        <v>3</v>
      </c>
      <c r="E390" s="134" t="b">
        <v>0</v>
      </c>
      <c r="F390" s="134">
        <v>155</v>
      </c>
      <c r="G390" s="134" t="s">
        <v>127</v>
      </c>
      <c r="H390" s="134" t="s">
        <v>112</v>
      </c>
      <c r="I390" s="137">
        <v>0.4</v>
      </c>
      <c r="J390" s="134" t="s">
        <v>264</v>
      </c>
      <c r="K390" s="134" t="s">
        <v>129</v>
      </c>
      <c r="L390" s="134"/>
      <c r="M390" s="134">
        <v>0</v>
      </c>
      <c r="N390" s="134">
        <v>0</v>
      </c>
      <c r="O390" s="134">
        <v>1</v>
      </c>
      <c r="P390" s="134">
        <v>1</v>
      </c>
      <c r="Q390" s="140">
        <v>0</v>
      </c>
      <c r="R390" s="139">
        <v>5</v>
      </c>
      <c r="S390" s="134">
        <v>170</v>
      </c>
      <c r="T390" s="134">
        <v>3500</v>
      </c>
      <c r="U390" s="134">
        <v>25</v>
      </c>
      <c r="V390" s="140">
        <v>10</v>
      </c>
      <c r="W390" s="15"/>
    </row>
    <row r="391" spans="1:23" ht="17.100000000000001" customHeight="1" x14ac:dyDescent="0.3">
      <c r="A391" s="139">
        <v>10354</v>
      </c>
      <c r="B391" s="135" t="s">
        <v>88</v>
      </c>
      <c r="C391" s="134" t="s">
        <v>486</v>
      </c>
      <c r="D391" s="134">
        <v>3</v>
      </c>
      <c r="E391" s="134" t="b">
        <v>0</v>
      </c>
      <c r="F391" s="134">
        <v>160</v>
      </c>
      <c r="G391" s="134" t="s">
        <v>127</v>
      </c>
      <c r="H391" s="134" t="s">
        <v>112</v>
      </c>
      <c r="I391" s="137">
        <v>0.3</v>
      </c>
      <c r="J391" s="134" t="s">
        <v>166</v>
      </c>
      <c r="K391" s="134" t="s">
        <v>129</v>
      </c>
      <c r="L391" s="134"/>
      <c r="M391" s="134">
        <v>0</v>
      </c>
      <c r="N391" s="134">
        <v>0</v>
      </c>
      <c r="O391" s="134">
        <v>1</v>
      </c>
      <c r="P391" s="134">
        <v>2</v>
      </c>
      <c r="Q391" s="140">
        <v>0</v>
      </c>
      <c r="R391" s="139">
        <v>5</v>
      </c>
      <c r="S391" s="134">
        <v>170</v>
      </c>
      <c r="T391" s="134">
        <v>3500</v>
      </c>
      <c r="U391" s="134">
        <v>25</v>
      </c>
      <c r="V391" s="140">
        <v>10</v>
      </c>
      <c r="W391" s="15"/>
    </row>
    <row r="392" spans="1:23" ht="17.100000000000001" customHeight="1" x14ac:dyDescent="0.3">
      <c r="A392" s="139">
        <v>10355</v>
      </c>
      <c r="B392" s="135" t="s">
        <v>88</v>
      </c>
      <c r="C392" s="134" t="s">
        <v>487</v>
      </c>
      <c r="D392" s="134">
        <v>3</v>
      </c>
      <c r="E392" s="134" t="b">
        <v>0</v>
      </c>
      <c r="F392" s="134">
        <v>170</v>
      </c>
      <c r="G392" s="134" t="s">
        <v>127</v>
      </c>
      <c r="H392" s="137">
        <v>3</v>
      </c>
      <c r="I392" s="137">
        <v>0.3</v>
      </c>
      <c r="J392" s="134" t="s">
        <v>148</v>
      </c>
      <c r="K392" s="134" t="s">
        <v>129</v>
      </c>
      <c r="L392" s="134"/>
      <c r="M392" s="134">
        <v>0</v>
      </c>
      <c r="N392" s="134">
        <v>0</v>
      </c>
      <c r="O392" s="134">
        <v>2</v>
      </c>
      <c r="P392" s="134">
        <v>2</v>
      </c>
      <c r="Q392" s="140">
        <v>0</v>
      </c>
      <c r="R392" s="139">
        <v>5</v>
      </c>
      <c r="S392" s="134">
        <v>170</v>
      </c>
      <c r="T392" s="134">
        <v>3500</v>
      </c>
      <c r="U392" s="134">
        <v>25</v>
      </c>
      <c r="V392" s="140">
        <v>10</v>
      </c>
      <c r="W392" s="15"/>
    </row>
    <row r="393" spans="1:23" ht="17.100000000000001" customHeight="1" x14ac:dyDescent="0.3">
      <c r="A393" s="139">
        <v>10356</v>
      </c>
      <c r="B393" s="135" t="s">
        <v>88</v>
      </c>
      <c r="C393" s="134" t="s">
        <v>488</v>
      </c>
      <c r="D393" s="134">
        <v>3</v>
      </c>
      <c r="E393" s="134" t="b">
        <v>0</v>
      </c>
      <c r="F393" s="134">
        <v>145</v>
      </c>
      <c r="G393" s="134" t="s">
        <v>127</v>
      </c>
      <c r="H393" s="134" t="s">
        <v>112</v>
      </c>
      <c r="I393" s="137">
        <v>0.4</v>
      </c>
      <c r="J393" s="134" t="s">
        <v>172</v>
      </c>
      <c r="K393" s="134" t="s">
        <v>137</v>
      </c>
      <c r="L393" s="134"/>
      <c r="M393" s="134">
        <v>0</v>
      </c>
      <c r="N393" s="134">
        <v>0</v>
      </c>
      <c r="O393" s="134">
        <v>0</v>
      </c>
      <c r="P393" s="134">
        <v>0</v>
      </c>
      <c r="Q393" s="140">
        <v>0</v>
      </c>
      <c r="R393" s="139">
        <v>5</v>
      </c>
      <c r="S393" s="134">
        <v>120</v>
      </c>
      <c r="T393" s="134">
        <v>2000</v>
      </c>
      <c r="U393" s="134">
        <v>15</v>
      </c>
      <c r="V393" s="140">
        <v>5</v>
      </c>
      <c r="W393" s="15"/>
    </row>
    <row r="394" spans="1:23" ht="17.100000000000001" customHeight="1" x14ac:dyDescent="0.3">
      <c r="A394" s="139">
        <v>10357</v>
      </c>
      <c r="B394" s="135" t="s">
        <v>88</v>
      </c>
      <c r="C394" s="134" t="s">
        <v>489</v>
      </c>
      <c r="D394" s="134">
        <v>3</v>
      </c>
      <c r="E394" s="134" t="b">
        <v>0</v>
      </c>
      <c r="F394" s="134">
        <v>75</v>
      </c>
      <c r="G394" s="134" t="s">
        <v>46</v>
      </c>
      <c r="H394" s="137">
        <v>2</v>
      </c>
      <c r="I394" s="137">
        <v>0.6</v>
      </c>
      <c r="J394" s="134" t="s">
        <v>213</v>
      </c>
      <c r="K394" s="134" t="s">
        <v>54</v>
      </c>
      <c r="L394" s="134"/>
      <c r="M394" s="134">
        <v>0</v>
      </c>
      <c r="N394" s="134">
        <v>0</v>
      </c>
      <c r="O394" s="134">
        <v>0</v>
      </c>
      <c r="P394" s="134">
        <v>0</v>
      </c>
      <c r="Q394" s="140">
        <v>0</v>
      </c>
      <c r="R394" s="139">
        <v>5</v>
      </c>
      <c r="S394" s="134">
        <v>80</v>
      </c>
      <c r="T394" s="134">
        <v>1000</v>
      </c>
      <c r="U394" s="134">
        <v>10</v>
      </c>
      <c r="V394" s="140">
        <v>0</v>
      </c>
      <c r="W394" s="15"/>
    </row>
    <row r="395" spans="1:23" ht="17.100000000000001" customHeight="1" x14ac:dyDescent="0.3">
      <c r="A395" s="139">
        <v>10358</v>
      </c>
      <c r="B395" s="135" t="s">
        <v>88</v>
      </c>
      <c r="C395" s="134" t="s">
        <v>490</v>
      </c>
      <c r="D395" s="134">
        <v>3</v>
      </c>
      <c r="E395" s="134" t="b">
        <v>0</v>
      </c>
      <c r="F395" s="134">
        <v>140</v>
      </c>
      <c r="G395" s="134" t="s">
        <v>127</v>
      </c>
      <c r="H395" s="134" t="s">
        <v>112</v>
      </c>
      <c r="I395" s="137">
        <v>0.4</v>
      </c>
      <c r="J395" s="134" t="s">
        <v>155</v>
      </c>
      <c r="K395" s="134" t="s">
        <v>137</v>
      </c>
      <c r="L395" s="134"/>
      <c r="M395" s="134">
        <v>0</v>
      </c>
      <c r="N395" s="134">
        <v>0</v>
      </c>
      <c r="O395" s="134">
        <v>0</v>
      </c>
      <c r="P395" s="134">
        <v>0</v>
      </c>
      <c r="Q395" s="140">
        <v>0</v>
      </c>
      <c r="R395" s="139">
        <v>5</v>
      </c>
      <c r="S395" s="134">
        <v>120</v>
      </c>
      <c r="T395" s="134">
        <v>2000</v>
      </c>
      <c r="U395" s="134">
        <v>15</v>
      </c>
      <c r="V395" s="140">
        <v>5</v>
      </c>
      <c r="W395" s="15"/>
    </row>
    <row r="396" spans="1:23" ht="17.100000000000001" customHeight="1" x14ac:dyDescent="0.3">
      <c r="A396" s="139">
        <v>10359</v>
      </c>
      <c r="B396" s="135" t="s">
        <v>88</v>
      </c>
      <c r="C396" s="134" t="s">
        <v>491</v>
      </c>
      <c r="D396" s="134">
        <v>3</v>
      </c>
      <c r="E396" s="134" t="b">
        <v>0</v>
      </c>
      <c r="F396" s="134">
        <v>180</v>
      </c>
      <c r="G396" s="134" t="s">
        <v>127</v>
      </c>
      <c r="H396" s="137">
        <v>3</v>
      </c>
      <c r="I396" s="137">
        <v>0.2</v>
      </c>
      <c r="J396" s="134" t="s">
        <v>189</v>
      </c>
      <c r="K396" s="134" t="s">
        <v>129</v>
      </c>
      <c r="L396" s="134"/>
      <c r="M396" s="134">
        <v>0</v>
      </c>
      <c r="N396" s="134">
        <v>0</v>
      </c>
      <c r="O396" s="134">
        <v>3</v>
      </c>
      <c r="P396" s="134">
        <v>3</v>
      </c>
      <c r="Q396" s="140">
        <v>0</v>
      </c>
      <c r="R396" s="139">
        <v>5</v>
      </c>
      <c r="S396" s="134">
        <v>230</v>
      </c>
      <c r="T396" s="134">
        <v>5500</v>
      </c>
      <c r="U396" s="134">
        <v>40</v>
      </c>
      <c r="V396" s="140">
        <v>20</v>
      </c>
      <c r="W396" s="15"/>
    </row>
    <row r="397" spans="1:23" ht="17.100000000000001" customHeight="1" x14ac:dyDescent="0.3">
      <c r="A397" s="139">
        <v>10360</v>
      </c>
      <c r="B397" s="135" t="s">
        <v>88</v>
      </c>
      <c r="C397" s="134" t="s">
        <v>492</v>
      </c>
      <c r="D397" s="134">
        <v>3</v>
      </c>
      <c r="E397" s="134" t="b">
        <v>0</v>
      </c>
      <c r="F397" s="134">
        <v>145</v>
      </c>
      <c r="G397" s="134" t="s">
        <v>127</v>
      </c>
      <c r="H397" s="134" t="s">
        <v>112</v>
      </c>
      <c r="I397" s="137">
        <v>0.4</v>
      </c>
      <c r="J397" s="134" t="s">
        <v>172</v>
      </c>
      <c r="K397" s="134" t="s">
        <v>137</v>
      </c>
      <c r="L397" s="134"/>
      <c r="M397" s="134">
        <v>0</v>
      </c>
      <c r="N397" s="134">
        <v>0</v>
      </c>
      <c r="O397" s="134">
        <v>0</v>
      </c>
      <c r="P397" s="134">
        <v>0</v>
      </c>
      <c r="Q397" s="140">
        <v>0</v>
      </c>
      <c r="R397" s="139">
        <v>5</v>
      </c>
      <c r="S397" s="134">
        <v>120</v>
      </c>
      <c r="T397" s="134">
        <v>2000</v>
      </c>
      <c r="U397" s="134">
        <v>15</v>
      </c>
      <c r="V397" s="140">
        <v>5</v>
      </c>
      <c r="W397" s="15"/>
    </row>
    <row r="398" spans="1:23" ht="17.100000000000001" customHeight="1" x14ac:dyDescent="0.3">
      <c r="A398" s="139">
        <v>10361</v>
      </c>
      <c r="B398" s="135" t="s">
        <v>88</v>
      </c>
      <c r="C398" s="134" t="s">
        <v>493</v>
      </c>
      <c r="D398" s="134">
        <v>3</v>
      </c>
      <c r="E398" s="134" t="b">
        <v>0</v>
      </c>
      <c r="F398" s="134">
        <v>180</v>
      </c>
      <c r="G398" s="134" t="s">
        <v>127</v>
      </c>
      <c r="H398" s="137">
        <v>3</v>
      </c>
      <c r="I398" s="137">
        <v>0.3</v>
      </c>
      <c r="J398" s="134" t="s">
        <v>189</v>
      </c>
      <c r="K398" s="134" t="s">
        <v>129</v>
      </c>
      <c r="L398" s="134"/>
      <c r="M398" s="134">
        <v>0</v>
      </c>
      <c r="N398" s="134">
        <v>0</v>
      </c>
      <c r="O398" s="134">
        <v>2</v>
      </c>
      <c r="P398" s="134">
        <v>3</v>
      </c>
      <c r="Q398" s="140">
        <v>0</v>
      </c>
      <c r="R398" s="139">
        <v>5</v>
      </c>
      <c r="S398" s="134">
        <v>230</v>
      </c>
      <c r="T398" s="134">
        <v>5500</v>
      </c>
      <c r="U398" s="134">
        <v>40</v>
      </c>
      <c r="V398" s="140">
        <v>20</v>
      </c>
      <c r="W398" s="15"/>
    </row>
    <row r="399" spans="1:23" ht="17.100000000000001" customHeight="1" x14ac:dyDescent="0.3">
      <c r="A399" s="139">
        <v>10362</v>
      </c>
      <c r="B399" s="135" t="s">
        <v>88</v>
      </c>
      <c r="C399" s="134" t="s">
        <v>494</v>
      </c>
      <c r="D399" s="134">
        <v>3</v>
      </c>
      <c r="E399" s="134" t="b">
        <v>0</v>
      </c>
      <c r="F399" s="134">
        <v>150</v>
      </c>
      <c r="G399" s="134" t="s">
        <v>127</v>
      </c>
      <c r="H399" s="134" t="s">
        <v>112</v>
      </c>
      <c r="I399" s="137">
        <v>0.4</v>
      </c>
      <c r="J399" s="134" t="s">
        <v>134</v>
      </c>
      <c r="K399" s="134" t="s">
        <v>129</v>
      </c>
      <c r="L399" s="134"/>
      <c r="M399" s="134">
        <v>0</v>
      </c>
      <c r="N399" s="134">
        <v>0</v>
      </c>
      <c r="O399" s="134">
        <v>0</v>
      </c>
      <c r="P399" s="134">
        <v>1</v>
      </c>
      <c r="Q399" s="140">
        <v>0</v>
      </c>
      <c r="R399" s="139">
        <v>5</v>
      </c>
      <c r="S399" s="134">
        <v>170</v>
      </c>
      <c r="T399" s="134">
        <v>3500</v>
      </c>
      <c r="U399" s="134">
        <v>25</v>
      </c>
      <c r="V399" s="140">
        <v>10</v>
      </c>
      <c r="W399" s="15"/>
    </row>
    <row r="400" spans="1:23" ht="17.100000000000001" customHeight="1" x14ac:dyDescent="0.3">
      <c r="A400" s="139">
        <v>10363</v>
      </c>
      <c r="B400" s="135" t="s">
        <v>88</v>
      </c>
      <c r="C400" s="134" t="s">
        <v>495</v>
      </c>
      <c r="D400" s="134">
        <v>3</v>
      </c>
      <c r="E400" s="134" t="b">
        <v>0</v>
      </c>
      <c r="F400" s="134">
        <v>165</v>
      </c>
      <c r="G400" s="134" t="s">
        <v>127</v>
      </c>
      <c r="H400" s="134" t="s">
        <v>112</v>
      </c>
      <c r="I400" s="137">
        <v>0.3</v>
      </c>
      <c r="J400" s="134" t="s">
        <v>252</v>
      </c>
      <c r="K400" s="134" t="s">
        <v>129</v>
      </c>
      <c r="L400" s="134"/>
      <c r="M400" s="134">
        <v>0</v>
      </c>
      <c r="N400" s="134">
        <v>0</v>
      </c>
      <c r="O400" s="134">
        <v>1</v>
      </c>
      <c r="P400" s="134">
        <v>2</v>
      </c>
      <c r="Q400" s="140">
        <v>0</v>
      </c>
      <c r="R400" s="139">
        <v>5</v>
      </c>
      <c r="S400" s="134">
        <v>170</v>
      </c>
      <c r="T400" s="134">
        <v>3500</v>
      </c>
      <c r="U400" s="134">
        <v>25</v>
      </c>
      <c r="V400" s="140">
        <v>10</v>
      </c>
      <c r="W400" s="15"/>
    </row>
    <row r="401" spans="1:23" ht="17.100000000000001" customHeight="1" x14ac:dyDescent="0.3">
      <c r="A401" s="139">
        <v>10364</v>
      </c>
      <c r="B401" s="135" t="s">
        <v>88</v>
      </c>
      <c r="C401" s="134" t="s">
        <v>496</v>
      </c>
      <c r="D401" s="134">
        <v>3</v>
      </c>
      <c r="E401" s="134" t="b">
        <v>0</v>
      </c>
      <c r="F401" s="134">
        <v>200</v>
      </c>
      <c r="G401" s="134" t="s">
        <v>127</v>
      </c>
      <c r="H401" s="137">
        <v>3</v>
      </c>
      <c r="I401" s="137">
        <v>0.2</v>
      </c>
      <c r="J401" s="134" t="s">
        <v>223</v>
      </c>
      <c r="K401" s="134" t="s">
        <v>129</v>
      </c>
      <c r="L401" s="134"/>
      <c r="M401" s="134">
        <v>0</v>
      </c>
      <c r="N401" s="134">
        <v>0</v>
      </c>
      <c r="O401" s="134">
        <v>5</v>
      </c>
      <c r="P401" s="134">
        <v>6</v>
      </c>
      <c r="Q401" s="140">
        <v>0</v>
      </c>
      <c r="R401" s="139">
        <v>5</v>
      </c>
      <c r="S401" s="134">
        <v>230</v>
      </c>
      <c r="T401" s="134">
        <v>5500</v>
      </c>
      <c r="U401" s="134">
        <v>40</v>
      </c>
      <c r="V401" s="140">
        <v>20</v>
      </c>
      <c r="W401" s="15"/>
    </row>
    <row r="402" spans="1:23" ht="17.100000000000001" customHeight="1" x14ac:dyDescent="0.3">
      <c r="A402" s="139">
        <v>10365</v>
      </c>
      <c r="B402" s="135" t="s">
        <v>88</v>
      </c>
      <c r="C402" s="134" t="s">
        <v>497</v>
      </c>
      <c r="D402" s="134">
        <v>3</v>
      </c>
      <c r="E402" s="134" t="b">
        <v>0</v>
      </c>
      <c r="F402" s="134">
        <v>180</v>
      </c>
      <c r="G402" s="134" t="s">
        <v>127</v>
      </c>
      <c r="H402" s="137">
        <v>3</v>
      </c>
      <c r="I402" s="137">
        <v>0.2</v>
      </c>
      <c r="J402" s="134" t="s">
        <v>189</v>
      </c>
      <c r="K402" s="134" t="s">
        <v>129</v>
      </c>
      <c r="L402" s="134"/>
      <c r="M402" s="134">
        <v>0</v>
      </c>
      <c r="N402" s="134">
        <v>0</v>
      </c>
      <c r="O402" s="134">
        <v>3</v>
      </c>
      <c r="P402" s="134">
        <v>3</v>
      </c>
      <c r="Q402" s="140">
        <v>0</v>
      </c>
      <c r="R402" s="139">
        <v>5</v>
      </c>
      <c r="S402" s="134">
        <v>230</v>
      </c>
      <c r="T402" s="134">
        <v>5500</v>
      </c>
      <c r="U402" s="134">
        <v>40</v>
      </c>
      <c r="V402" s="140">
        <v>20</v>
      </c>
      <c r="W402" s="15"/>
    </row>
    <row r="403" spans="1:23" ht="17.100000000000001" customHeight="1" x14ac:dyDescent="0.3">
      <c r="A403" s="139">
        <v>10366</v>
      </c>
      <c r="B403" s="135" t="s">
        <v>88</v>
      </c>
      <c r="C403" s="134" t="s">
        <v>498</v>
      </c>
      <c r="D403" s="134">
        <v>3</v>
      </c>
      <c r="E403" s="134" t="b">
        <v>0</v>
      </c>
      <c r="F403" s="134">
        <v>175</v>
      </c>
      <c r="G403" s="134" t="s">
        <v>127</v>
      </c>
      <c r="H403" s="137">
        <v>3</v>
      </c>
      <c r="I403" s="137">
        <v>0.3</v>
      </c>
      <c r="J403" s="134" t="s">
        <v>131</v>
      </c>
      <c r="K403" s="134" t="s">
        <v>129</v>
      </c>
      <c r="L403" s="134"/>
      <c r="M403" s="134">
        <v>0</v>
      </c>
      <c r="N403" s="134">
        <v>0</v>
      </c>
      <c r="O403" s="134">
        <v>2</v>
      </c>
      <c r="P403" s="134">
        <v>3</v>
      </c>
      <c r="Q403" s="140">
        <v>0</v>
      </c>
      <c r="R403" s="139">
        <v>5</v>
      </c>
      <c r="S403" s="134">
        <v>230</v>
      </c>
      <c r="T403" s="134">
        <v>5500</v>
      </c>
      <c r="U403" s="134">
        <v>40</v>
      </c>
      <c r="V403" s="140">
        <v>20</v>
      </c>
      <c r="W403" s="15"/>
    </row>
    <row r="404" spans="1:23" ht="17.100000000000001" customHeight="1" x14ac:dyDescent="0.3">
      <c r="A404" s="139">
        <v>10367</v>
      </c>
      <c r="B404" s="135" t="s">
        <v>88</v>
      </c>
      <c r="C404" s="134" t="s">
        <v>499</v>
      </c>
      <c r="D404" s="134">
        <v>3</v>
      </c>
      <c r="E404" s="134" t="b">
        <v>0</v>
      </c>
      <c r="F404" s="134">
        <v>150</v>
      </c>
      <c r="G404" s="134" t="s">
        <v>127</v>
      </c>
      <c r="H404" s="134" t="s">
        <v>112</v>
      </c>
      <c r="I404" s="137">
        <v>0.4</v>
      </c>
      <c r="J404" s="134" t="s">
        <v>134</v>
      </c>
      <c r="K404" s="134" t="s">
        <v>129</v>
      </c>
      <c r="L404" s="134"/>
      <c r="M404" s="134">
        <v>0</v>
      </c>
      <c r="N404" s="134">
        <v>0</v>
      </c>
      <c r="O404" s="134">
        <v>0</v>
      </c>
      <c r="P404" s="134">
        <v>1</v>
      </c>
      <c r="Q404" s="140">
        <v>0</v>
      </c>
      <c r="R404" s="139">
        <v>5</v>
      </c>
      <c r="S404" s="134">
        <v>170</v>
      </c>
      <c r="T404" s="134">
        <v>3500</v>
      </c>
      <c r="U404" s="134">
        <v>25</v>
      </c>
      <c r="V404" s="140">
        <v>10</v>
      </c>
      <c r="W404" s="15"/>
    </row>
    <row r="405" spans="1:23" ht="17.100000000000001" customHeight="1" x14ac:dyDescent="0.3">
      <c r="A405" s="139">
        <v>10368</v>
      </c>
      <c r="B405" s="135" t="s">
        <v>88</v>
      </c>
      <c r="C405" s="134" t="s">
        <v>500</v>
      </c>
      <c r="D405" s="134">
        <v>3</v>
      </c>
      <c r="E405" s="134" t="b">
        <v>0</v>
      </c>
      <c r="F405" s="134">
        <v>160</v>
      </c>
      <c r="G405" s="134" t="s">
        <v>127</v>
      </c>
      <c r="H405" s="134" t="s">
        <v>112</v>
      </c>
      <c r="I405" s="137">
        <v>0.4</v>
      </c>
      <c r="J405" s="134" t="s">
        <v>166</v>
      </c>
      <c r="K405" s="134" t="s">
        <v>129</v>
      </c>
      <c r="L405" s="134"/>
      <c r="M405" s="134">
        <v>0</v>
      </c>
      <c r="N405" s="134">
        <v>0</v>
      </c>
      <c r="O405" s="134">
        <v>1</v>
      </c>
      <c r="P405" s="134">
        <v>1</v>
      </c>
      <c r="Q405" s="140">
        <v>0</v>
      </c>
      <c r="R405" s="139">
        <v>5</v>
      </c>
      <c r="S405" s="134">
        <v>170</v>
      </c>
      <c r="T405" s="134">
        <v>3500</v>
      </c>
      <c r="U405" s="134">
        <v>25</v>
      </c>
      <c r="V405" s="140">
        <v>10</v>
      </c>
      <c r="W405" s="15"/>
    </row>
    <row r="406" spans="1:23" ht="17.100000000000001" customHeight="1" x14ac:dyDescent="0.3">
      <c r="A406" s="139">
        <v>10369</v>
      </c>
      <c r="B406" s="135" t="s">
        <v>88</v>
      </c>
      <c r="C406" s="134" t="s">
        <v>501</v>
      </c>
      <c r="D406" s="134">
        <v>3</v>
      </c>
      <c r="E406" s="134" t="b">
        <v>0</v>
      </c>
      <c r="F406" s="134">
        <v>195</v>
      </c>
      <c r="G406" s="134" t="s">
        <v>127</v>
      </c>
      <c r="H406" s="137">
        <v>3</v>
      </c>
      <c r="I406" s="137">
        <v>0.2</v>
      </c>
      <c r="J406" s="134" t="s">
        <v>128</v>
      </c>
      <c r="K406" s="134" t="s">
        <v>129</v>
      </c>
      <c r="L406" s="134"/>
      <c r="M406" s="134">
        <v>0</v>
      </c>
      <c r="N406" s="134">
        <v>0</v>
      </c>
      <c r="O406" s="134">
        <v>5</v>
      </c>
      <c r="P406" s="134">
        <v>5</v>
      </c>
      <c r="Q406" s="140">
        <v>0</v>
      </c>
      <c r="R406" s="139">
        <v>5</v>
      </c>
      <c r="S406" s="134">
        <v>230</v>
      </c>
      <c r="T406" s="134">
        <v>5500</v>
      </c>
      <c r="U406" s="134">
        <v>40</v>
      </c>
      <c r="V406" s="140">
        <v>20</v>
      </c>
      <c r="W406" s="15"/>
    </row>
    <row r="407" spans="1:23" ht="17.100000000000001" customHeight="1" x14ac:dyDescent="0.3">
      <c r="A407" s="139">
        <v>10370</v>
      </c>
      <c r="B407" s="135" t="s">
        <v>88</v>
      </c>
      <c r="C407" s="134" t="s">
        <v>502</v>
      </c>
      <c r="D407" s="134">
        <v>3</v>
      </c>
      <c r="E407" s="134" t="b">
        <v>0</v>
      </c>
      <c r="F407" s="134">
        <v>145</v>
      </c>
      <c r="G407" s="134" t="s">
        <v>127</v>
      </c>
      <c r="H407" s="134" t="s">
        <v>112</v>
      </c>
      <c r="I407" s="137">
        <v>0.4</v>
      </c>
      <c r="J407" s="134" t="s">
        <v>172</v>
      </c>
      <c r="K407" s="134" t="s">
        <v>137</v>
      </c>
      <c r="L407" s="134"/>
      <c r="M407" s="134">
        <v>0</v>
      </c>
      <c r="N407" s="134">
        <v>0</v>
      </c>
      <c r="O407" s="134">
        <v>0</v>
      </c>
      <c r="P407" s="134">
        <v>1</v>
      </c>
      <c r="Q407" s="140">
        <v>0</v>
      </c>
      <c r="R407" s="139">
        <v>5</v>
      </c>
      <c r="S407" s="134">
        <v>120</v>
      </c>
      <c r="T407" s="134">
        <v>2000</v>
      </c>
      <c r="U407" s="134">
        <v>15</v>
      </c>
      <c r="V407" s="140">
        <v>5</v>
      </c>
      <c r="W407" s="15"/>
    </row>
    <row r="408" spans="1:23" ht="17.100000000000001" customHeight="1" x14ac:dyDescent="0.3">
      <c r="A408" s="139">
        <v>10371</v>
      </c>
      <c r="B408" s="135" t="s">
        <v>88</v>
      </c>
      <c r="C408" s="134" t="s">
        <v>503</v>
      </c>
      <c r="D408" s="134">
        <v>3</v>
      </c>
      <c r="E408" s="134" t="b">
        <v>0</v>
      </c>
      <c r="F408" s="134">
        <v>160</v>
      </c>
      <c r="G408" s="134" t="s">
        <v>127</v>
      </c>
      <c r="H408" s="134" t="s">
        <v>112</v>
      </c>
      <c r="I408" s="137">
        <v>0.3</v>
      </c>
      <c r="J408" s="134" t="s">
        <v>166</v>
      </c>
      <c r="K408" s="134" t="s">
        <v>129</v>
      </c>
      <c r="L408" s="134"/>
      <c r="M408" s="134">
        <v>0</v>
      </c>
      <c r="N408" s="134">
        <v>0</v>
      </c>
      <c r="O408" s="134">
        <v>1</v>
      </c>
      <c r="P408" s="134">
        <v>2</v>
      </c>
      <c r="Q408" s="140">
        <v>0</v>
      </c>
      <c r="R408" s="139">
        <v>5</v>
      </c>
      <c r="S408" s="134">
        <v>170</v>
      </c>
      <c r="T408" s="134">
        <v>3500</v>
      </c>
      <c r="U408" s="134">
        <v>25</v>
      </c>
      <c r="V408" s="140">
        <v>10</v>
      </c>
      <c r="W408" s="15"/>
    </row>
    <row r="409" spans="1:23" ht="17.100000000000001" customHeight="1" x14ac:dyDescent="0.3">
      <c r="A409" s="139">
        <v>10372</v>
      </c>
      <c r="B409" s="135" t="s">
        <v>88</v>
      </c>
      <c r="C409" s="134" t="s">
        <v>504</v>
      </c>
      <c r="D409" s="134">
        <v>3</v>
      </c>
      <c r="E409" s="134" t="b">
        <v>0</v>
      </c>
      <c r="F409" s="134">
        <v>140</v>
      </c>
      <c r="G409" s="134" t="s">
        <v>127</v>
      </c>
      <c r="H409" s="134" t="s">
        <v>112</v>
      </c>
      <c r="I409" s="137">
        <v>0.4</v>
      </c>
      <c r="J409" s="134" t="s">
        <v>155</v>
      </c>
      <c r="K409" s="134" t="s">
        <v>137</v>
      </c>
      <c r="L409" s="134"/>
      <c r="M409" s="134">
        <v>0</v>
      </c>
      <c r="N409" s="134">
        <v>0</v>
      </c>
      <c r="O409" s="134">
        <v>0</v>
      </c>
      <c r="P409" s="134">
        <v>0</v>
      </c>
      <c r="Q409" s="140">
        <v>0</v>
      </c>
      <c r="R409" s="139">
        <v>5</v>
      </c>
      <c r="S409" s="134">
        <v>120</v>
      </c>
      <c r="T409" s="134">
        <v>2000</v>
      </c>
      <c r="U409" s="134">
        <v>15</v>
      </c>
      <c r="V409" s="140">
        <v>5</v>
      </c>
      <c r="W409" s="15"/>
    </row>
    <row r="410" spans="1:23" ht="17.100000000000001" customHeight="1" x14ac:dyDescent="0.3">
      <c r="A410" s="139">
        <v>10373</v>
      </c>
      <c r="B410" s="135" t="s">
        <v>88</v>
      </c>
      <c r="C410" s="134" t="s">
        <v>505</v>
      </c>
      <c r="D410" s="134">
        <v>3</v>
      </c>
      <c r="E410" s="134" t="b">
        <v>0</v>
      </c>
      <c r="F410" s="134">
        <v>125</v>
      </c>
      <c r="G410" s="134" t="s">
        <v>127</v>
      </c>
      <c r="H410" s="137">
        <v>2</v>
      </c>
      <c r="I410" s="137">
        <v>0.5</v>
      </c>
      <c r="J410" s="134" t="s">
        <v>150</v>
      </c>
      <c r="K410" s="134" t="s">
        <v>137</v>
      </c>
      <c r="L410" s="134"/>
      <c r="M410" s="134">
        <v>0</v>
      </c>
      <c r="N410" s="134">
        <v>0</v>
      </c>
      <c r="O410" s="134">
        <v>0</v>
      </c>
      <c r="P410" s="134">
        <v>0</v>
      </c>
      <c r="Q410" s="140">
        <v>0</v>
      </c>
      <c r="R410" s="139">
        <v>5</v>
      </c>
      <c r="S410" s="134">
        <v>120</v>
      </c>
      <c r="T410" s="134">
        <v>2000</v>
      </c>
      <c r="U410" s="134">
        <v>15</v>
      </c>
      <c r="V410" s="140">
        <v>5</v>
      </c>
      <c r="W410" s="15"/>
    </row>
    <row r="411" spans="1:23" ht="17.100000000000001" customHeight="1" x14ac:dyDescent="0.3">
      <c r="A411" s="139">
        <v>10374</v>
      </c>
      <c r="B411" s="135" t="s">
        <v>88</v>
      </c>
      <c r="C411" s="134" t="s">
        <v>506</v>
      </c>
      <c r="D411" s="134">
        <v>3</v>
      </c>
      <c r="E411" s="134" t="b">
        <v>0</v>
      </c>
      <c r="F411" s="134">
        <v>200</v>
      </c>
      <c r="G411" s="134" t="s">
        <v>127</v>
      </c>
      <c r="H411" s="137">
        <v>3</v>
      </c>
      <c r="I411" s="137">
        <v>0.2</v>
      </c>
      <c r="J411" s="134" t="s">
        <v>223</v>
      </c>
      <c r="K411" s="134" t="s">
        <v>129</v>
      </c>
      <c r="L411" s="134"/>
      <c r="M411" s="134">
        <v>0</v>
      </c>
      <c r="N411" s="134">
        <v>0</v>
      </c>
      <c r="O411" s="134">
        <v>5</v>
      </c>
      <c r="P411" s="134">
        <v>6</v>
      </c>
      <c r="Q411" s="140">
        <v>0</v>
      </c>
      <c r="R411" s="139">
        <v>5</v>
      </c>
      <c r="S411" s="134">
        <v>230</v>
      </c>
      <c r="T411" s="134">
        <v>5500</v>
      </c>
      <c r="U411" s="134">
        <v>40</v>
      </c>
      <c r="V411" s="140">
        <v>20</v>
      </c>
      <c r="W411" s="15"/>
    </row>
    <row r="412" spans="1:23" ht="17.100000000000001" customHeight="1" x14ac:dyDescent="0.3">
      <c r="A412" s="139">
        <v>10375</v>
      </c>
      <c r="B412" s="135" t="s">
        <v>88</v>
      </c>
      <c r="C412" s="134" t="s">
        <v>507</v>
      </c>
      <c r="D412" s="134">
        <v>3</v>
      </c>
      <c r="E412" s="134" t="b">
        <v>0</v>
      </c>
      <c r="F412" s="134">
        <v>155</v>
      </c>
      <c r="G412" s="134" t="s">
        <v>127</v>
      </c>
      <c r="H412" s="134" t="s">
        <v>112</v>
      </c>
      <c r="I412" s="137">
        <v>0.4</v>
      </c>
      <c r="J412" s="134" t="s">
        <v>264</v>
      </c>
      <c r="K412" s="134" t="s">
        <v>129</v>
      </c>
      <c r="L412" s="134"/>
      <c r="M412" s="134">
        <v>0</v>
      </c>
      <c r="N412" s="134">
        <v>0</v>
      </c>
      <c r="O412" s="134">
        <v>0</v>
      </c>
      <c r="P412" s="134">
        <v>1</v>
      </c>
      <c r="Q412" s="140">
        <v>0</v>
      </c>
      <c r="R412" s="139">
        <v>5</v>
      </c>
      <c r="S412" s="134">
        <v>170</v>
      </c>
      <c r="T412" s="134">
        <v>3500</v>
      </c>
      <c r="U412" s="134">
        <v>25</v>
      </c>
      <c r="V412" s="140">
        <v>10</v>
      </c>
      <c r="W412" s="15"/>
    </row>
    <row r="413" spans="1:23" ht="17.100000000000001" customHeight="1" x14ac:dyDescent="0.3">
      <c r="A413" s="139">
        <v>10376</v>
      </c>
      <c r="B413" s="135" t="s">
        <v>88</v>
      </c>
      <c r="C413" s="134" t="s">
        <v>508</v>
      </c>
      <c r="D413" s="134">
        <v>3</v>
      </c>
      <c r="E413" s="134" t="b">
        <v>0</v>
      </c>
      <c r="F413" s="134">
        <v>170</v>
      </c>
      <c r="G413" s="134" t="s">
        <v>127</v>
      </c>
      <c r="H413" s="137">
        <v>3</v>
      </c>
      <c r="I413" s="137">
        <v>0.3</v>
      </c>
      <c r="J413" s="134" t="s">
        <v>148</v>
      </c>
      <c r="K413" s="134" t="s">
        <v>129</v>
      </c>
      <c r="L413" s="134"/>
      <c r="M413" s="134">
        <v>0</v>
      </c>
      <c r="N413" s="134">
        <v>0</v>
      </c>
      <c r="O413" s="134">
        <v>2</v>
      </c>
      <c r="P413" s="134">
        <v>3</v>
      </c>
      <c r="Q413" s="140">
        <v>0</v>
      </c>
      <c r="R413" s="139">
        <v>5</v>
      </c>
      <c r="S413" s="134">
        <v>170</v>
      </c>
      <c r="T413" s="134">
        <v>3500</v>
      </c>
      <c r="U413" s="134">
        <v>25</v>
      </c>
      <c r="V413" s="140">
        <v>10</v>
      </c>
      <c r="W413" s="15"/>
    </row>
    <row r="414" spans="1:23" ht="17.100000000000001" customHeight="1" x14ac:dyDescent="0.3">
      <c r="A414" s="139">
        <v>10377</v>
      </c>
      <c r="B414" s="135" t="s">
        <v>88</v>
      </c>
      <c r="C414" s="134" t="s">
        <v>509</v>
      </c>
      <c r="D414" s="134">
        <v>3</v>
      </c>
      <c r="E414" s="134" t="b">
        <v>0</v>
      </c>
      <c r="F414" s="134">
        <v>160</v>
      </c>
      <c r="G414" s="134" t="s">
        <v>127</v>
      </c>
      <c r="H414" s="134" t="s">
        <v>112</v>
      </c>
      <c r="I414" s="137">
        <v>0.4</v>
      </c>
      <c r="J414" s="134" t="s">
        <v>166</v>
      </c>
      <c r="K414" s="134" t="s">
        <v>129</v>
      </c>
      <c r="L414" s="134"/>
      <c r="M414" s="134">
        <v>0</v>
      </c>
      <c r="N414" s="134">
        <v>0</v>
      </c>
      <c r="O414" s="134">
        <v>1</v>
      </c>
      <c r="P414" s="134">
        <v>1</v>
      </c>
      <c r="Q414" s="140">
        <v>0</v>
      </c>
      <c r="R414" s="139">
        <v>5</v>
      </c>
      <c r="S414" s="134">
        <v>170</v>
      </c>
      <c r="T414" s="134">
        <v>3500</v>
      </c>
      <c r="U414" s="134">
        <v>25</v>
      </c>
      <c r="V414" s="140">
        <v>10</v>
      </c>
      <c r="W414" s="15"/>
    </row>
    <row r="415" spans="1:23" ht="17.100000000000001" customHeight="1" x14ac:dyDescent="0.3">
      <c r="A415" s="139">
        <v>10378</v>
      </c>
      <c r="B415" s="135" t="s">
        <v>88</v>
      </c>
      <c r="C415" s="134" t="s">
        <v>510</v>
      </c>
      <c r="D415" s="134">
        <v>3</v>
      </c>
      <c r="E415" s="134" t="b">
        <v>0</v>
      </c>
      <c r="F415" s="134">
        <v>170</v>
      </c>
      <c r="G415" s="134" t="s">
        <v>127</v>
      </c>
      <c r="H415" s="137">
        <v>3</v>
      </c>
      <c r="I415" s="137">
        <v>0.3</v>
      </c>
      <c r="J415" s="134" t="s">
        <v>148</v>
      </c>
      <c r="K415" s="134" t="s">
        <v>129</v>
      </c>
      <c r="L415" s="134"/>
      <c r="M415" s="134">
        <v>0</v>
      </c>
      <c r="N415" s="134">
        <v>0</v>
      </c>
      <c r="O415" s="134">
        <v>2</v>
      </c>
      <c r="P415" s="134">
        <v>2</v>
      </c>
      <c r="Q415" s="140">
        <v>0</v>
      </c>
      <c r="R415" s="139">
        <v>5</v>
      </c>
      <c r="S415" s="134">
        <v>170</v>
      </c>
      <c r="T415" s="134">
        <v>3500</v>
      </c>
      <c r="U415" s="134">
        <v>25</v>
      </c>
      <c r="V415" s="140">
        <v>10</v>
      </c>
      <c r="W415" s="15"/>
    </row>
    <row r="416" spans="1:23" ht="17.100000000000001" customHeight="1" x14ac:dyDescent="0.3">
      <c r="A416" s="139">
        <v>10379</v>
      </c>
      <c r="B416" s="135" t="s">
        <v>88</v>
      </c>
      <c r="C416" s="134" t="s">
        <v>511</v>
      </c>
      <c r="D416" s="134">
        <v>3</v>
      </c>
      <c r="E416" s="134" t="b">
        <v>0</v>
      </c>
      <c r="F416" s="134">
        <v>155</v>
      </c>
      <c r="G416" s="134" t="s">
        <v>127</v>
      </c>
      <c r="H416" s="134" t="s">
        <v>112</v>
      </c>
      <c r="I416" s="137">
        <v>0.4</v>
      </c>
      <c r="J416" s="134" t="s">
        <v>264</v>
      </c>
      <c r="K416" s="134" t="s">
        <v>129</v>
      </c>
      <c r="L416" s="134"/>
      <c r="M416" s="134">
        <v>0</v>
      </c>
      <c r="N416" s="134">
        <v>0</v>
      </c>
      <c r="O416" s="134">
        <v>1</v>
      </c>
      <c r="P416" s="134">
        <v>1</v>
      </c>
      <c r="Q416" s="140">
        <v>0</v>
      </c>
      <c r="R416" s="139">
        <v>5</v>
      </c>
      <c r="S416" s="134">
        <v>170</v>
      </c>
      <c r="T416" s="134">
        <v>3500</v>
      </c>
      <c r="U416" s="134">
        <v>25</v>
      </c>
      <c r="V416" s="140">
        <v>10</v>
      </c>
      <c r="W416" s="15"/>
    </row>
    <row r="417" spans="1:23" ht="17.100000000000001" customHeight="1" x14ac:dyDescent="0.3">
      <c r="A417" s="139">
        <v>10380</v>
      </c>
      <c r="B417" s="135" t="s">
        <v>88</v>
      </c>
      <c r="C417" s="134" t="s">
        <v>512</v>
      </c>
      <c r="D417" s="134">
        <v>3</v>
      </c>
      <c r="E417" s="134" t="b">
        <v>0</v>
      </c>
      <c r="F417" s="134">
        <v>180</v>
      </c>
      <c r="G417" s="134" t="s">
        <v>127</v>
      </c>
      <c r="H417" s="137">
        <v>3</v>
      </c>
      <c r="I417" s="137">
        <v>0.2</v>
      </c>
      <c r="J417" s="134" t="s">
        <v>189</v>
      </c>
      <c r="K417" s="134" t="s">
        <v>129</v>
      </c>
      <c r="L417" s="134"/>
      <c r="M417" s="134">
        <v>0</v>
      </c>
      <c r="N417" s="134">
        <v>0</v>
      </c>
      <c r="O417" s="134">
        <v>3</v>
      </c>
      <c r="P417" s="134">
        <v>3</v>
      </c>
      <c r="Q417" s="140">
        <v>0</v>
      </c>
      <c r="R417" s="139">
        <v>5</v>
      </c>
      <c r="S417" s="134">
        <v>230</v>
      </c>
      <c r="T417" s="134">
        <v>5500</v>
      </c>
      <c r="U417" s="134">
        <v>40</v>
      </c>
      <c r="V417" s="140">
        <v>20</v>
      </c>
      <c r="W417" s="15"/>
    </row>
    <row r="418" spans="1:23" ht="17.100000000000001" customHeight="1" x14ac:dyDescent="0.3">
      <c r="A418" s="139">
        <v>10381</v>
      </c>
      <c r="B418" s="135" t="s">
        <v>88</v>
      </c>
      <c r="C418" s="134" t="s">
        <v>513</v>
      </c>
      <c r="D418" s="134">
        <v>3</v>
      </c>
      <c r="E418" s="134" t="b">
        <v>0</v>
      </c>
      <c r="F418" s="134">
        <v>170</v>
      </c>
      <c r="G418" s="134" t="s">
        <v>127</v>
      </c>
      <c r="H418" s="137">
        <v>3</v>
      </c>
      <c r="I418" s="137">
        <v>0.3</v>
      </c>
      <c r="J418" s="134" t="s">
        <v>148</v>
      </c>
      <c r="K418" s="134" t="s">
        <v>129</v>
      </c>
      <c r="L418" s="134"/>
      <c r="M418" s="134">
        <v>0</v>
      </c>
      <c r="N418" s="134">
        <v>0</v>
      </c>
      <c r="O418" s="134">
        <v>2</v>
      </c>
      <c r="P418" s="134">
        <v>2</v>
      </c>
      <c r="Q418" s="140">
        <v>0</v>
      </c>
      <c r="R418" s="139">
        <v>5</v>
      </c>
      <c r="S418" s="134">
        <v>170</v>
      </c>
      <c r="T418" s="134">
        <v>3500</v>
      </c>
      <c r="U418" s="134">
        <v>25</v>
      </c>
      <c r="V418" s="140">
        <v>10</v>
      </c>
      <c r="W418" s="15"/>
    </row>
    <row r="419" spans="1:23" ht="17.100000000000001" customHeight="1" x14ac:dyDescent="0.3">
      <c r="A419" s="139">
        <v>10382</v>
      </c>
      <c r="B419" s="135" t="s">
        <v>88</v>
      </c>
      <c r="C419" s="134" t="s">
        <v>514</v>
      </c>
      <c r="D419" s="134">
        <v>3</v>
      </c>
      <c r="E419" s="134" t="b">
        <v>0</v>
      </c>
      <c r="F419" s="134">
        <v>105</v>
      </c>
      <c r="G419" s="134" t="s">
        <v>127</v>
      </c>
      <c r="H419" s="137">
        <v>2</v>
      </c>
      <c r="I419" s="137">
        <v>0.5</v>
      </c>
      <c r="J419" s="134" t="s">
        <v>176</v>
      </c>
      <c r="K419" s="134" t="s">
        <v>137</v>
      </c>
      <c r="L419" s="134"/>
      <c r="M419" s="134">
        <v>0</v>
      </c>
      <c r="N419" s="134">
        <v>0</v>
      </c>
      <c r="O419" s="134">
        <v>0</v>
      </c>
      <c r="P419" s="134">
        <v>0</v>
      </c>
      <c r="Q419" s="140">
        <v>0</v>
      </c>
      <c r="R419" s="139">
        <v>5</v>
      </c>
      <c r="S419" s="134">
        <v>80</v>
      </c>
      <c r="T419" s="134">
        <v>1000</v>
      </c>
      <c r="U419" s="134">
        <v>10</v>
      </c>
      <c r="V419" s="140">
        <v>0</v>
      </c>
      <c r="W419" s="15"/>
    </row>
    <row r="420" spans="1:23" ht="17.100000000000001" customHeight="1" x14ac:dyDescent="0.3">
      <c r="A420" s="139">
        <v>10383</v>
      </c>
      <c r="B420" s="135" t="s">
        <v>88</v>
      </c>
      <c r="C420" s="134" t="s">
        <v>515</v>
      </c>
      <c r="D420" s="134">
        <v>3</v>
      </c>
      <c r="E420" s="134" t="b">
        <v>0</v>
      </c>
      <c r="F420" s="134">
        <v>115</v>
      </c>
      <c r="G420" s="134" t="s">
        <v>127</v>
      </c>
      <c r="H420" s="137">
        <v>2</v>
      </c>
      <c r="I420" s="137">
        <v>0.5</v>
      </c>
      <c r="J420" s="134" t="s">
        <v>187</v>
      </c>
      <c r="K420" s="134" t="s">
        <v>137</v>
      </c>
      <c r="L420" s="134"/>
      <c r="M420" s="134">
        <v>0</v>
      </c>
      <c r="N420" s="134">
        <v>0</v>
      </c>
      <c r="O420" s="134">
        <v>0</v>
      </c>
      <c r="P420" s="134">
        <v>0</v>
      </c>
      <c r="Q420" s="140">
        <v>0</v>
      </c>
      <c r="R420" s="139">
        <v>5</v>
      </c>
      <c r="S420" s="134">
        <v>80</v>
      </c>
      <c r="T420" s="134">
        <v>1000</v>
      </c>
      <c r="U420" s="134">
        <v>10</v>
      </c>
      <c r="V420" s="140">
        <v>0</v>
      </c>
      <c r="W420" s="15"/>
    </row>
    <row r="421" spans="1:23" ht="17.100000000000001" customHeight="1" x14ac:dyDescent="0.3">
      <c r="A421" s="139">
        <v>10384</v>
      </c>
      <c r="B421" s="135" t="s">
        <v>88</v>
      </c>
      <c r="C421" s="134" t="s">
        <v>516</v>
      </c>
      <c r="D421" s="134">
        <v>3</v>
      </c>
      <c r="E421" s="134" t="b">
        <v>0</v>
      </c>
      <c r="F421" s="134">
        <v>135</v>
      </c>
      <c r="G421" s="134" t="s">
        <v>127</v>
      </c>
      <c r="H421" s="134" t="s">
        <v>112</v>
      </c>
      <c r="I421" s="137">
        <v>0.4</v>
      </c>
      <c r="J421" s="134" t="s">
        <v>136</v>
      </c>
      <c r="K421" s="134" t="s">
        <v>137</v>
      </c>
      <c r="L421" s="134"/>
      <c r="M421" s="134">
        <v>0</v>
      </c>
      <c r="N421" s="134">
        <v>0</v>
      </c>
      <c r="O421" s="134">
        <v>0</v>
      </c>
      <c r="P421" s="134">
        <v>0</v>
      </c>
      <c r="Q421" s="140">
        <v>0</v>
      </c>
      <c r="R421" s="139">
        <v>5</v>
      </c>
      <c r="S421" s="134">
        <v>120</v>
      </c>
      <c r="T421" s="134">
        <v>2000</v>
      </c>
      <c r="U421" s="134">
        <v>15</v>
      </c>
      <c r="V421" s="140">
        <v>5</v>
      </c>
      <c r="W421" s="15"/>
    </row>
    <row r="422" spans="1:23" ht="17.100000000000001" customHeight="1" x14ac:dyDescent="0.3">
      <c r="A422" s="139">
        <v>10385</v>
      </c>
      <c r="B422" s="135" t="s">
        <v>88</v>
      </c>
      <c r="C422" s="134" t="s">
        <v>517</v>
      </c>
      <c r="D422" s="134">
        <v>3</v>
      </c>
      <c r="E422" s="134" t="b">
        <v>0</v>
      </c>
      <c r="F422" s="134">
        <v>125</v>
      </c>
      <c r="G422" s="134" t="s">
        <v>127</v>
      </c>
      <c r="H422" s="137">
        <v>2</v>
      </c>
      <c r="I422" s="137">
        <v>0.5</v>
      </c>
      <c r="J422" s="134" t="s">
        <v>150</v>
      </c>
      <c r="K422" s="134" t="s">
        <v>137</v>
      </c>
      <c r="L422" s="134"/>
      <c r="M422" s="134">
        <v>0</v>
      </c>
      <c r="N422" s="134">
        <v>0</v>
      </c>
      <c r="O422" s="134">
        <v>0</v>
      </c>
      <c r="P422" s="134">
        <v>0</v>
      </c>
      <c r="Q422" s="140">
        <v>0</v>
      </c>
      <c r="R422" s="139">
        <v>5</v>
      </c>
      <c r="S422" s="134">
        <v>120</v>
      </c>
      <c r="T422" s="134">
        <v>2000</v>
      </c>
      <c r="U422" s="134">
        <v>15</v>
      </c>
      <c r="V422" s="140">
        <v>5</v>
      </c>
      <c r="W422" s="15"/>
    </row>
    <row r="423" spans="1:23" ht="17.100000000000001" customHeight="1" x14ac:dyDescent="0.3">
      <c r="A423" s="139">
        <v>10386</v>
      </c>
      <c r="B423" s="135" t="s">
        <v>88</v>
      </c>
      <c r="C423" s="134" t="s">
        <v>518</v>
      </c>
      <c r="D423" s="134">
        <v>3</v>
      </c>
      <c r="E423" s="134" t="b">
        <v>0</v>
      </c>
      <c r="F423" s="134">
        <v>175</v>
      </c>
      <c r="G423" s="134" t="s">
        <v>127</v>
      </c>
      <c r="H423" s="137">
        <v>3</v>
      </c>
      <c r="I423" s="137">
        <v>0.3</v>
      </c>
      <c r="J423" s="134" t="s">
        <v>131</v>
      </c>
      <c r="K423" s="134" t="s">
        <v>129</v>
      </c>
      <c r="L423" s="134"/>
      <c r="M423" s="134">
        <v>0</v>
      </c>
      <c r="N423" s="134">
        <v>0</v>
      </c>
      <c r="O423" s="134">
        <v>2</v>
      </c>
      <c r="P423" s="134">
        <v>3</v>
      </c>
      <c r="Q423" s="140">
        <v>0</v>
      </c>
      <c r="R423" s="139">
        <v>5</v>
      </c>
      <c r="S423" s="134">
        <v>230</v>
      </c>
      <c r="T423" s="134">
        <v>5500</v>
      </c>
      <c r="U423" s="134">
        <v>40</v>
      </c>
      <c r="V423" s="140">
        <v>20</v>
      </c>
      <c r="W423" s="15"/>
    </row>
    <row r="424" spans="1:23" ht="17.100000000000001" customHeight="1" x14ac:dyDescent="0.3">
      <c r="A424" s="139">
        <v>10387</v>
      </c>
      <c r="B424" s="135" t="s">
        <v>88</v>
      </c>
      <c r="C424" s="134" t="s">
        <v>519</v>
      </c>
      <c r="D424" s="134">
        <v>3</v>
      </c>
      <c r="E424" s="134" t="b">
        <v>0</v>
      </c>
      <c r="F424" s="134">
        <v>185</v>
      </c>
      <c r="G424" s="134" t="s">
        <v>127</v>
      </c>
      <c r="H424" s="137">
        <v>3</v>
      </c>
      <c r="I424" s="137">
        <v>0.2</v>
      </c>
      <c r="J424" s="134" t="s">
        <v>142</v>
      </c>
      <c r="K424" s="134" t="s">
        <v>129</v>
      </c>
      <c r="L424" s="134"/>
      <c r="M424" s="134">
        <v>0</v>
      </c>
      <c r="N424" s="134">
        <v>0</v>
      </c>
      <c r="O424" s="134">
        <v>3</v>
      </c>
      <c r="P424" s="134">
        <v>4</v>
      </c>
      <c r="Q424" s="140">
        <v>0</v>
      </c>
      <c r="R424" s="139">
        <v>5</v>
      </c>
      <c r="S424" s="134">
        <v>230</v>
      </c>
      <c r="T424" s="134">
        <v>5500</v>
      </c>
      <c r="U424" s="134">
        <v>40</v>
      </c>
      <c r="V424" s="140">
        <v>20</v>
      </c>
      <c r="W424" s="15"/>
    </row>
    <row r="425" spans="1:23" ht="17.100000000000001" customHeight="1" x14ac:dyDescent="0.3">
      <c r="A425" s="139">
        <v>10388</v>
      </c>
      <c r="B425" s="135" t="s">
        <v>88</v>
      </c>
      <c r="C425" s="134" t="s">
        <v>520</v>
      </c>
      <c r="D425" s="134">
        <v>3</v>
      </c>
      <c r="E425" s="134" t="b">
        <v>0</v>
      </c>
      <c r="F425" s="134">
        <v>145</v>
      </c>
      <c r="G425" s="134" t="s">
        <v>127</v>
      </c>
      <c r="H425" s="134" t="s">
        <v>112</v>
      </c>
      <c r="I425" s="137">
        <v>0.4</v>
      </c>
      <c r="J425" s="134" t="s">
        <v>172</v>
      </c>
      <c r="K425" s="134" t="s">
        <v>137</v>
      </c>
      <c r="L425" s="134"/>
      <c r="M425" s="134">
        <v>0</v>
      </c>
      <c r="N425" s="134">
        <v>0</v>
      </c>
      <c r="O425" s="134">
        <v>0</v>
      </c>
      <c r="P425" s="134">
        <v>0</v>
      </c>
      <c r="Q425" s="140">
        <v>0</v>
      </c>
      <c r="R425" s="139">
        <v>5</v>
      </c>
      <c r="S425" s="134">
        <v>120</v>
      </c>
      <c r="T425" s="134">
        <v>2000</v>
      </c>
      <c r="U425" s="134">
        <v>15</v>
      </c>
      <c r="V425" s="140">
        <v>5</v>
      </c>
      <c r="W425" s="15"/>
    </row>
    <row r="426" spans="1:23" ht="17.100000000000001" customHeight="1" x14ac:dyDescent="0.3">
      <c r="A426" s="139">
        <v>10389</v>
      </c>
      <c r="B426" s="135" t="s">
        <v>88</v>
      </c>
      <c r="C426" s="134" t="s">
        <v>521</v>
      </c>
      <c r="D426" s="134">
        <v>3</v>
      </c>
      <c r="E426" s="134" t="b">
        <v>0</v>
      </c>
      <c r="F426" s="134">
        <v>105</v>
      </c>
      <c r="G426" s="134" t="s">
        <v>127</v>
      </c>
      <c r="H426" s="137">
        <v>2</v>
      </c>
      <c r="I426" s="137">
        <v>0.5</v>
      </c>
      <c r="J426" s="134" t="s">
        <v>176</v>
      </c>
      <c r="K426" s="134" t="s">
        <v>137</v>
      </c>
      <c r="L426" s="134"/>
      <c r="M426" s="134">
        <v>0</v>
      </c>
      <c r="N426" s="134">
        <v>0</v>
      </c>
      <c r="O426" s="134">
        <v>0</v>
      </c>
      <c r="P426" s="134">
        <v>0</v>
      </c>
      <c r="Q426" s="140">
        <v>0</v>
      </c>
      <c r="R426" s="139">
        <v>5</v>
      </c>
      <c r="S426" s="134">
        <v>80</v>
      </c>
      <c r="T426" s="134">
        <v>1000</v>
      </c>
      <c r="U426" s="134">
        <v>10</v>
      </c>
      <c r="V426" s="140">
        <v>0</v>
      </c>
      <c r="W426" s="15"/>
    </row>
    <row r="427" spans="1:23" ht="17.100000000000001" customHeight="1" x14ac:dyDescent="0.3">
      <c r="A427" s="139">
        <v>10390</v>
      </c>
      <c r="B427" s="135" t="s">
        <v>88</v>
      </c>
      <c r="C427" s="134" t="s">
        <v>522</v>
      </c>
      <c r="D427" s="134">
        <v>3</v>
      </c>
      <c r="E427" s="134" t="b">
        <v>0</v>
      </c>
      <c r="F427" s="134">
        <v>180</v>
      </c>
      <c r="G427" s="134" t="s">
        <v>127</v>
      </c>
      <c r="H427" s="137">
        <v>3</v>
      </c>
      <c r="I427" s="137">
        <v>0.3</v>
      </c>
      <c r="J427" s="134" t="s">
        <v>189</v>
      </c>
      <c r="K427" s="134" t="s">
        <v>129</v>
      </c>
      <c r="L427" s="134"/>
      <c r="M427" s="134">
        <v>0</v>
      </c>
      <c r="N427" s="134">
        <v>0</v>
      </c>
      <c r="O427" s="134">
        <v>2</v>
      </c>
      <c r="P427" s="134">
        <v>3</v>
      </c>
      <c r="Q427" s="140">
        <v>0</v>
      </c>
      <c r="R427" s="139">
        <v>5</v>
      </c>
      <c r="S427" s="134">
        <v>230</v>
      </c>
      <c r="T427" s="134">
        <v>5500</v>
      </c>
      <c r="U427" s="134">
        <v>40</v>
      </c>
      <c r="V427" s="140">
        <v>20</v>
      </c>
      <c r="W427" s="15"/>
    </row>
    <row r="428" spans="1:23" ht="17.100000000000001" customHeight="1" x14ac:dyDescent="0.3">
      <c r="A428" s="139">
        <v>10391</v>
      </c>
      <c r="B428" s="135" t="s">
        <v>88</v>
      </c>
      <c r="C428" s="134" t="s">
        <v>523</v>
      </c>
      <c r="D428" s="134">
        <v>3</v>
      </c>
      <c r="E428" s="134" t="b">
        <v>0</v>
      </c>
      <c r="F428" s="134">
        <v>185</v>
      </c>
      <c r="G428" s="134" t="s">
        <v>127</v>
      </c>
      <c r="H428" s="137">
        <v>3</v>
      </c>
      <c r="I428" s="137">
        <v>0.2</v>
      </c>
      <c r="J428" s="134" t="s">
        <v>142</v>
      </c>
      <c r="K428" s="134" t="s">
        <v>129</v>
      </c>
      <c r="L428" s="134"/>
      <c r="M428" s="134">
        <v>0</v>
      </c>
      <c r="N428" s="134">
        <v>0</v>
      </c>
      <c r="O428" s="134">
        <v>3</v>
      </c>
      <c r="P428" s="134">
        <v>4</v>
      </c>
      <c r="Q428" s="140">
        <v>0</v>
      </c>
      <c r="R428" s="139">
        <v>5</v>
      </c>
      <c r="S428" s="134">
        <v>230</v>
      </c>
      <c r="T428" s="134">
        <v>5500</v>
      </c>
      <c r="U428" s="134">
        <v>40</v>
      </c>
      <c r="V428" s="140">
        <v>20</v>
      </c>
      <c r="W428" s="15"/>
    </row>
    <row r="429" spans="1:23" ht="17.100000000000001" customHeight="1" x14ac:dyDescent="0.3">
      <c r="A429" s="139">
        <v>10392</v>
      </c>
      <c r="B429" s="135" t="s">
        <v>88</v>
      </c>
      <c r="C429" s="134" t="s">
        <v>524</v>
      </c>
      <c r="D429" s="134">
        <v>3</v>
      </c>
      <c r="E429" s="134" t="b">
        <v>0</v>
      </c>
      <c r="F429" s="134">
        <v>145</v>
      </c>
      <c r="G429" s="134" t="s">
        <v>127</v>
      </c>
      <c r="H429" s="134" t="s">
        <v>112</v>
      </c>
      <c r="I429" s="137">
        <v>0.4</v>
      </c>
      <c r="J429" s="134" t="s">
        <v>172</v>
      </c>
      <c r="K429" s="134" t="s">
        <v>137</v>
      </c>
      <c r="L429" s="134"/>
      <c r="M429" s="134">
        <v>0</v>
      </c>
      <c r="N429" s="134">
        <v>0</v>
      </c>
      <c r="O429" s="134">
        <v>0</v>
      </c>
      <c r="P429" s="134">
        <v>0</v>
      </c>
      <c r="Q429" s="140">
        <v>0</v>
      </c>
      <c r="R429" s="139">
        <v>5</v>
      </c>
      <c r="S429" s="134">
        <v>120</v>
      </c>
      <c r="T429" s="134">
        <v>2000</v>
      </c>
      <c r="U429" s="134">
        <v>15</v>
      </c>
      <c r="V429" s="140">
        <v>5</v>
      </c>
      <c r="W429" s="15"/>
    </row>
    <row r="430" spans="1:23" ht="17.100000000000001" customHeight="1" x14ac:dyDescent="0.3">
      <c r="A430" s="139">
        <v>10393</v>
      </c>
      <c r="B430" s="135" t="s">
        <v>88</v>
      </c>
      <c r="C430" s="134" t="s">
        <v>525</v>
      </c>
      <c r="D430" s="134">
        <v>3</v>
      </c>
      <c r="E430" s="134" t="b">
        <v>0</v>
      </c>
      <c r="F430" s="134">
        <v>145</v>
      </c>
      <c r="G430" s="134" t="s">
        <v>127</v>
      </c>
      <c r="H430" s="134" t="s">
        <v>112</v>
      </c>
      <c r="I430" s="137">
        <v>0.4</v>
      </c>
      <c r="J430" s="134" t="s">
        <v>172</v>
      </c>
      <c r="K430" s="134" t="s">
        <v>137</v>
      </c>
      <c r="L430" s="134"/>
      <c r="M430" s="134">
        <v>0</v>
      </c>
      <c r="N430" s="134">
        <v>0</v>
      </c>
      <c r="O430" s="134">
        <v>0</v>
      </c>
      <c r="P430" s="134">
        <v>1</v>
      </c>
      <c r="Q430" s="140">
        <v>0</v>
      </c>
      <c r="R430" s="139">
        <v>5</v>
      </c>
      <c r="S430" s="134">
        <v>120</v>
      </c>
      <c r="T430" s="134">
        <v>2000</v>
      </c>
      <c r="U430" s="134">
        <v>15</v>
      </c>
      <c r="V430" s="140">
        <v>5</v>
      </c>
      <c r="W430" s="15"/>
    </row>
    <row r="431" spans="1:23" ht="17.100000000000001" customHeight="1" x14ac:dyDescent="0.3">
      <c r="A431" s="139">
        <v>10394</v>
      </c>
      <c r="B431" s="135" t="s">
        <v>88</v>
      </c>
      <c r="C431" s="134" t="s">
        <v>526</v>
      </c>
      <c r="D431" s="134">
        <v>3</v>
      </c>
      <c r="E431" s="134" t="b">
        <v>0</v>
      </c>
      <c r="F431" s="134">
        <v>200</v>
      </c>
      <c r="G431" s="134" t="s">
        <v>127</v>
      </c>
      <c r="H431" s="137">
        <v>3</v>
      </c>
      <c r="I431" s="137">
        <v>0.2</v>
      </c>
      <c r="J431" s="134" t="s">
        <v>223</v>
      </c>
      <c r="K431" s="134" t="s">
        <v>129</v>
      </c>
      <c r="L431" s="134"/>
      <c r="M431" s="134">
        <v>0</v>
      </c>
      <c r="N431" s="134">
        <v>0</v>
      </c>
      <c r="O431" s="134">
        <v>5</v>
      </c>
      <c r="P431" s="134">
        <v>6</v>
      </c>
      <c r="Q431" s="140">
        <v>0</v>
      </c>
      <c r="R431" s="139">
        <v>5</v>
      </c>
      <c r="S431" s="134">
        <v>230</v>
      </c>
      <c r="T431" s="134">
        <v>5500</v>
      </c>
      <c r="U431" s="134">
        <v>40</v>
      </c>
      <c r="V431" s="140">
        <v>20</v>
      </c>
      <c r="W431" s="15"/>
    </row>
    <row r="432" spans="1:23" ht="17.100000000000001" customHeight="1" x14ac:dyDescent="0.3">
      <c r="A432" s="139">
        <v>10395</v>
      </c>
      <c r="B432" s="135" t="s">
        <v>88</v>
      </c>
      <c r="C432" s="134" t="s">
        <v>527</v>
      </c>
      <c r="D432" s="134">
        <v>3</v>
      </c>
      <c r="E432" s="134" t="b">
        <v>0</v>
      </c>
      <c r="F432" s="134">
        <v>180</v>
      </c>
      <c r="G432" s="134" t="s">
        <v>127</v>
      </c>
      <c r="H432" s="137">
        <v>3</v>
      </c>
      <c r="I432" s="137">
        <v>0.3</v>
      </c>
      <c r="J432" s="134" t="s">
        <v>189</v>
      </c>
      <c r="K432" s="134" t="s">
        <v>129</v>
      </c>
      <c r="L432" s="134"/>
      <c r="M432" s="134">
        <v>0</v>
      </c>
      <c r="N432" s="134">
        <v>0</v>
      </c>
      <c r="O432" s="134">
        <v>2</v>
      </c>
      <c r="P432" s="134">
        <v>3</v>
      </c>
      <c r="Q432" s="140">
        <v>0</v>
      </c>
      <c r="R432" s="139">
        <v>5</v>
      </c>
      <c r="S432" s="134">
        <v>230</v>
      </c>
      <c r="T432" s="134">
        <v>5500</v>
      </c>
      <c r="U432" s="134">
        <v>40</v>
      </c>
      <c r="V432" s="140">
        <v>20</v>
      </c>
      <c r="W432" s="15"/>
    </row>
    <row r="433" spans="1:23" ht="17.100000000000001" customHeight="1" x14ac:dyDescent="0.3">
      <c r="A433" s="139">
        <v>10396</v>
      </c>
      <c r="B433" s="135" t="s">
        <v>88</v>
      </c>
      <c r="C433" s="134" t="s">
        <v>528</v>
      </c>
      <c r="D433" s="134">
        <v>3</v>
      </c>
      <c r="E433" s="134" t="b">
        <v>0</v>
      </c>
      <c r="F433" s="134">
        <v>90</v>
      </c>
      <c r="G433" s="134" t="s">
        <v>46</v>
      </c>
      <c r="H433" s="137">
        <v>2</v>
      </c>
      <c r="I433" s="137">
        <v>0.6</v>
      </c>
      <c r="J433" s="134" t="s">
        <v>104</v>
      </c>
      <c r="K433" s="134" t="s">
        <v>102</v>
      </c>
      <c r="L433" s="134"/>
      <c r="M433" s="134">
        <v>0</v>
      </c>
      <c r="N433" s="134">
        <v>0</v>
      </c>
      <c r="O433" s="134">
        <v>0</v>
      </c>
      <c r="P433" s="134">
        <v>0</v>
      </c>
      <c r="Q433" s="140">
        <v>0</v>
      </c>
      <c r="R433" s="139">
        <v>5</v>
      </c>
      <c r="S433" s="134">
        <v>80</v>
      </c>
      <c r="T433" s="134">
        <v>1000</v>
      </c>
      <c r="U433" s="134">
        <v>10</v>
      </c>
      <c r="V433" s="140">
        <v>0</v>
      </c>
      <c r="W433" s="15"/>
    </row>
    <row r="434" spans="1:23" ht="17.100000000000001" customHeight="1" x14ac:dyDescent="0.3">
      <c r="A434" s="139">
        <v>10397</v>
      </c>
      <c r="B434" s="135" t="s">
        <v>88</v>
      </c>
      <c r="C434" s="134" t="s">
        <v>529</v>
      </c>
      <c r="D434" s="134">
        <v>3</v>
      </c>
      <c r="E434" s="134" t="b">
        <v>0</v>
      </c>
      <c r="F434" s="134">
        <v>145</v>
      </c>
      <c r="G434" s="134" t="s">
        <v>127</v>
      </c>
      <c r="H434" s="134" t="s">
        <v>112</v>
      </c>
      <c r="I434" s="137">
        <v>0.4</v>
      </c>
      <c r="J434" s="134" t="s">
        <v>172</v>
      </c>
      <c r="K434" s="134" t="s">
        <v>137</v>
      </c>
      <c r="L434" s="134"/>
      <c r="M434" s="134">
        <v>0</v>
      </c>
      <c r="N434" s="134">
        <v>0</v>
      </c>
      <c r="O434" s="134">
        <v>0</v>
      </c>
      <c r="P434" s="134">
        <v>0</v>
      </c>
      <c r="Q434" s="140">
        <v>0</v>
      </c>
      <c r="R434" s="139">
        <v>5</v>
      </c>
      <c r="S434" s="134">
        <v>120</v>
      </c>
      <c r="T434" s="134">
        <v>2000</v>
      </c>
      <c r="U434" s="134">
        <v>15</v>
      </c>
      <c r="V434" s="140">
        <v>5</v>
      </c>
      <c r="W434" s="15"/>
    </row>
    <row r="435" spans="1:23" ht="17.100000000000001" customHeight="1" x14ac:dyDescent="0.3">
      <c r="A435" s="139">
        <v>10398</v>
      </c>
      <c r="B435" s="135" t="s">
        <v>88</v>
      </c>
      <c r="C435" s="134" t="s">
        <v>530</v>
      </c>
      <c r="D435" s="134">
        <v>3</v>
      </c>
      <c r="E435" s="134" t="b">
        <v>0</v>
      </c>
      <c r="F435" s="134">
        <v>135</v>
      </c>
      <c r="G435" s="134" t="s">
        <v>127</v>
      </c>
      <c r="H435" s="134" t="s">
        <v>112</v>
      </c>
      <c r="I435" s="137">
        <v>0.4</v>
      </c>
      <c r="J435" s="134" t="s">
        <v>136</v>
      </c>
      <c r="K435" s="134" t="s">
        <v>137</v>
      </c>
      <c r="L435" s="134"/>
      <c r="M435" s="134">
        <v>0</v>
      </c>
      <c r="N435" s="134">
        <v>0</v>
      </c>
      <c r="O435" s="134">
        <v>0</v>
      </c>
      <c r="P435" s="134">
        <v>0</v>
      </c>
      <c r="Q435" s="140">
        <v>0</v>
      </c>
      <c r="R435" s="139">
        <v>5</v>
      </c>
      <c r="S435" s="134">
        <v>120</v>
      </c>
      <c r="T435" s="134">
        <v>2000</v>
      </c>
      <c r="U435" s="134">
        <v>15</v>
      </c>
      <c r="V435" s="140">
        <v>5</v>
      </c>
      <c r="W435" s="15"/>
    </row>
    <row r="436" spans="1:23" ht="17.100000000000001" customHeight="1" x14ac:dyDescent="0.3">
      <c r="A436" s="139">
        <v>10399</v>
      </c>
      <c r="B436" s="135" t="s">
        <v>88</v>
      </c>
      <c r="C436" s="134" t="s">
        <v>531</v>
      </c>
      <c r="D436" s="134">
        <v>3</v>
      </c>
      <c r="E436" s="134" t="b">
        <v>0</v>
      </c>
      <c r="F436" s="134">
        <v>80</v>
      </c>
      <c r="G436" s="134" t="s">
        <v>46</v>
      </c>
      <c r="H436" s="137">
        <v>2</v>
      </c>
      <c r="I436" s="137">
        <v>0.6</v>
      </c>
      <c r="J436" s="134" t="s">
        <v>115</v>
      </c>
      <c r="K436" s="134" t="s">
        <v>54</v>
      </c>
      <c r="L436" s="134"/>
      <c r="M436" s="134">
        <v>0</v>
      </c>
      <c r="N436" s="134">
        <v>0</v>
      </c>
      <c r="O436" s="134">
        <v>0</v>
      </c>
      <c r="P436" s="134">
        <v>0</v>
      </c>
      <c r="Q436" s="140">
        <v>0</v>
      </c>
      <c r="R436" s="139">
        <v>5</v>
      </c>
      <c r="S436" s="134">
        <v>80</v>
      </c>
      <c r="T436" s="134">
        <v>1000</v>
      </c>
      <c r="U436" s="134">
        <v>10</v>
      </c>
      <c r="V436" s="140">
        <v>0</v>
      </c>
      <c r="W436" s="15"/>
    </row>
    <row r="437" spans="1:23" ht="17.100000000000001" customHeight="1" x14ac:dyDescent="0.3">
      <c r="A437" s="139">
        <v>10400</v>
      </c>
      <c r="B437" s="135" t="s">
        <v>88</v>
      </c>
      <c r="C437" s="134" t="s">
        <v>532</v>
      </c>
      <c r="D437" s="134">
        <v>3</v>
      </c>
      <c r="E437" s="134" t="b">
        <v>0</v>
      </c>
      <c r="F437" s="134">
        <v>175</v>
      </c>
      <c r="G437" s="134" t="s">
        <v>127</v>
      </c>
      <c r="H437" s="137">
        <v>3</v>
      </c>
      <c r="I437" s="137">
        <v>0.3</v>
      </c>
      <c r="J437" s="134" t="s">
        <v>131</v>
      </c>
      <c r="K437" s="134" t="s">
        <v>129</v>
      </c>
      <c r="L437" s="134"/>
      <c r="M437" s="134">
        <v>0</v>
      </c>
      <c r="N437" s="134">
        <v>0</v>
      </c>
      <c r="O437" s="134">
        <v>2</v>
      </c>
      <c r="P437" s="134">
        <v>3</v>
      </c>
      <c r="Q437" s="140">
        <v>0</v>
      </c>
      <c r="R437" s="139">
        <v>5</v>
      </c>
      <c r="S437" s="134">
        <v>170</v>
      </c>
      <c r="T437" s="134">
        <v>3500</v>
      </c>
      <c r="U437" s="134">
        <v>25</v>
      </c>
      <c r="V437" s="140">
        <v>10</v>
      </c>
      <c r="W437" s="15"/>
    </row>
    <row r="438" spans="1:23" ht="17.100000000000001" customHeight="1" x14ac:dyDescent="0.3">
      <c r="A438" s="139">
        <v>10401</v>
      </c>
      <c r="B438" s="135" t="s">
        <v>88</v>
      </c>
      <c r="C438" s="134" t="s">
        <v>533</v>
      </c>
      <c r="D438" s="134">
        <v>3</v>
      </c>
      <c r="E438" s="134" t="b">
        <v>0</v>
      </c>
      <c r="F438" s="134">
        <v>160</v>
      </c>
      <c r="G438" s="134" t="s">
        <v>127</v>
      </c>
      <c r="H438" s="134" t="s">
        <v>112</v>
      </c>
      <c r="I438" s="137">
        <v>0.4</v>
      </c>
      <c r="J438" s="134" t="s">
        <v>166</v>
      </c>
      <c r="K438" s="134" t="s">
        <v>129</v>
      </c>
      <c r="L438" s="134"/>
      <c r="M438" s="134">
        <v>0</v>
      </c>
      <c r="N438" s="134">
        <v>0</v>
      </c>
      <c r="O438" s="134">
        <v>1</v>
      </c>
      <c r="P438" s="134">
        <v>1</v>
      </c>
      <c r="Q438" s="140">
        <v>0</v>
      </c>
      <c r="R438" s="139">
        <v>5</v>
      </c>
      <c r="S438" s="134">
        <v>170</v>
      </c>
      <c r="T438" s="134">
        <v>3500</v>
      </c>
      <c r="U438" s="134">
        <v>25</v>
      </c>
      <c r="V438" s="140">
        <v>10</v>
      </c>
      <c r="W438" s="15"/>
    </row>
    <row r="439" spans="1:23" ht="17.100000000000001" customHeight="1" x14ac:dyDescent="0.3">
      <c r="A439" s="139">
        <v>10402</v>
      </c>
      <c r="B439" s="135" t="s">
        <v>88</v>
      </c>
      <c r="C439" s="134" t="s">
        <v>534</v>
      </c>
      <c r="D439" s="134">
        <v>3</v>
      </c>
      <c r="E439" s="134" t="b">
        <v>0</v>
      </c>
      <c r="F439" s="134">
        <v>165</v>
      </c>
      <c r="G439" s="134" t="s">
        <v>127</v>
      </c>
      <c r="H439" s="134" t="s">
        <v>112</v>
      </c>
      <c r="I439" s="137">
        <v>0.3</v>
      </c>
      <c r="J439" s="134" t="s">
        <v>252</v>
      </c>
      <c r="K439" s="134" t="s">
        <v>129</v>
      </c>
      <c r="L439" s="134"/>
      <c r="M439" s="134">
        <v>0</v>
      </c>
      <c r="N439" s="134">
        <v>0</v>
      </c>
      <c r="O439" s="134">
        <v>1</v>
      </c>
      <c r="P439" s="134">
        <v>2</v>
      </c>
      <c r="Q439" s="140">
        <v>0</v>
      </c>
      <c r="R439" s="139">
        <v>5</v>
      </c>
      <c r="S439" s="134">
        <v>170</v>
      </c>
      <c r="T439" s="134">
        <v>3500</v>
      </c>
      <c r="U439" s="134">
        <v>25</v>
      </c>
      <c r="V439" s="140">
        <v>10</v>
      </c>
      <c r="W439" s="15"/>
    </row>
    <row r="440" spans="1:23" ht="17.100000000000001" customHeight="1" x14ac:dyDescent="0.3">
      <c r="A440" s="139">
        <v>10403</v>
      </c>
      <c r="B440" s="135" t="s">
        <v>88</v>
      </c>
      <c r="C440" s="134" t="s">
        <v>535</v>
      </c>
      <c r="D440" s="134">
        <v>3</v>
      </c>
      <c r="E440" s="134" t="b">
        <v>0</v>
      </c>
      <c r="F440" s="134">
        <v>155</v>
      </c>
      <c r="G440" s="134" t="s">
        <v>127</v>
      </c>
      <c r="H440" s="134" t="s">
        <v>112</v>
      </c>
      <c r="I440" s="137">
        <v>0.4</v>
      </c>
      <c r="J440" s="134" t="s">
        <v>264</v>
      </c>
      <c r="K440" s="134" t="s">
        <v>129</v>
      </c>
      <c r="L440" s="134"/>
      <c r="M440" s="134">
        <v>0</v>
      </c>
      <c r="N440" s="134">
        <v>0</v>
      </c>
      <c r="O440" s="134">
        <v>0</v>
      </c>
      <c r="P440" s="134">
        <v>1</v>
      </c>
      <c r="Q440" s="140">
        <v>0</v>
      </c>
      <c r="R440" s="139">
        <v>5</v>
      </c>
      <c r="S440" s="134">
        <v>170</v>
      </c>
      <c r="T440" s="134">
        <v>3500</v>
      </c>
      <c r="U440" s="134">
        <v>25</v>
      </c>
      <c r="V440" s="140">
        <v>10</v>
      </c>
      <c r="W440" s="15"/>
    </row>
    <row r="441" spans="1:23" ht="17.100000000000001" customHeight="1" x14ac:dyDescent="0.3">
      <c r="A441" s="139">
        <v>10404</v>
      </c>
      <c r="B441" s="135" t="s">
        <v>88</v>
      </c>
      <c r="C441" s="134" t="s">
        <v>536</v>
      </c>
      <c r="D441" s="134">
        <v>3</v>
      </c>
      <c r="E441" s="134" t="b">
        <v>0</v>
      </c>
      <c r="F441" s="134">
        <v>160</v>
      </c>
      <c r="G441" s="134" t="s">
        <v>127</v>
      </c>
      <c r="H441" s="134" t="s">
        <v>112</v>
      </c>
      <c r="I441" s="137">
        <v>0.4</v>
      </c>
      <c r="J441" s="134" t="s">
        <v>166</v>
      </c>
      <c r="K441" s="134" t="s">
        <v>129</v>
      </c>
      <c r="L441" s="134"/>
      <c r="M441" s="134">
        <v>0</v>
      </c>
      <c r="N441" s="134">
        <v>0</v>
      </c>
      <c r="O441" s="134">
        <v>1</v>
      </c>
      <c r="P441" s="134">
        <v>1</v>
      </c>
      <c r="Q441" s="140">
        <v>0</v>
      </c>
      <c r="R441" s="139">
        <v>5</v>
      </c>
      <c r="S441" s="134">
        <v>170</v>
      </c>
      <c r="T441" s="134">
        <v>3500</v>
      </c>
      <c r="U441" s="134">
        <v>25</v>
      </c>
      <c r="V441" s="140">
        <v>10</v>
      </c>
      <c r="W441" s="15"/>
    </row>
    <row r="442" spans="1:23" ht="17.100000000000001" customHeight="1" x14ac:dyDescent="0.3">
      <c r="A442" s="139">
        <v>10405</v>
      </c>
      <c r="B442" s="135" t="s">
        <v>88</v>
      </c>
      <c r="C442" s="134" t="s">
        <v>537</v>
      </c>
      <c r="D442" s="134">
        <v>3</v>
      </c>
      <c r="E442" s="134" t="b">
        <v>0</v>
      </c>
      <c r="F442" s="134">
        <v>170</v>
      </c>
      <c r="G442" s="134" t="s">
        <v>127</v>
      </c>
      <c r="H442" s="137">
        <v>3</v>
      </c>
      <c r="I442" s="137">
        <v>0.3</v>
      </c>
      <c r="J442" s="134" t="s">
        <v>148</v>
      </c>
      <c r="K442" s="134" t="s">
        <v>129</v>
      </c>
      <c r="L442" s="134"/>
      <c r="M442" s="134">
        <v>0</v>
      </c>
      <c r="N442" s="134">
        <v>0</v>
      </c>
      <c r="O442" s="134">
        <v>2</v>
      </c>
      <c r="P442" s="134">
        <v>2</v>
      </c>
      <c r="Q442" s="140">
        <v>0</v>
      </c>
      <c r="R442" s="139">
        <v>5</v>
      </c>
      <c r="S442" s="134">
        <v>170</v>
      </c>
      <c r="T442" s="134">
        <v>3500</v>
      </c>
      <c r="U442" s="134">
        <v>25</v>
      </c>
      <c r="V442" s="140">
        <v>10</v>
      </c>
      <c r="W442" s="15"/>
    </row>
    <row r="443" spans="1:23" ht="17.100000000000001" customHeight="1" x14ac:dyDescent="0.3">
      <c r="A443" s="139">
        <v>10406</v>
      </c>
      <c r="B443" s="135" t="s">
        <v>88</v>
      </c>
      <c r="C443" s="134" t="s">
        <v>538</v>
      </c>
      <c r="D443" s="134">
        <v>3</v>
      </c>
      <c r="E443" s="134" t="b">
        <v>0</v>
      </c>
      <c r="F443" s="134">
        <v>150</v>
      </c>
      <c r="G443" s="134" t="s">
        <v>127</v>
      </c>
      <c r="H443" s="134" t="s">
        <v>112</v>
      </c>
      <c r="I443" s="137">
        <v>0.4</v>
      </c>
      <c r="J443" s="134" t="s">
        <v>134</v>
      </c>
      <c r="K443" s="134" t="s">
        <v>129</v>
      </c>
      <c r="L443" s="134"/>
      <c r="M443" s="134">
        <v>0</v>
      </c>
      <c r="N443" s="134">
        <v>0</v>
      </c>
      <c r="O443" s="134">
        <v>0</v>
      </c>
      <c r="P443" s="134">
        <v>1</v>
      </c>
      <c r="Q443" s="140">
        <v>0</v>
      </c>
      <c r="R443" s="139">
        <v>5</v>
      </c>
      <c r="S443" s="134">
        <v>170</v>
      </c>
      <c r="T443" s="134">
        <v>3500</v>
      </c>
      <c r="U443" s="134">
        <v>25</v>
      </c>
      <c r="V443" s="140">
        <v>10</v>
      </c>
      <c r="W443" s="15"/>
    </row>
    <row r="444" spans="1:23" ht="17.100000000000001" customHeight="1" x14ac:dyDescent="0.3">
      <c r="A444" s="139">
        <v>10407</v>
      </c>
      <c r="B444" s="135" t="s">
        <v>88</v>
      </c>
      <c r="C444" s="134" t="s">
        <v>539</v>
      </c>
      <c r="D444" s="134">
        <v>3</v>
      </c>
      <c r="E444" s="134" t="b">
        <v>0</v>
      </c>
      <c r="F444" s="134">
        <v>125</v>
      </c>
      <c r="G444" s="134" t="s">
        <v>127</v>
      </c>
      <c r="H444" s="137">
        <v>2</v>
      </c>
      <c r="I444" s="137">
        <v>0.5</v>
      </c>
      <c r="J444" s="134" t="s">
        <v>150</v>
      </c>
      <c r="K444" s="134" t="s">
        <v>137</v>
      </c>
      <c r="L444" s="134"/>
      <c r="M444" s="134">
        <v>0</v>
      </c>
      <c r="N444" s="134">
        <v>0</v>
      </c>
      <c r="O444" s="134">
        <v>0</v>
      </c>
      <c r="P444" s="134">
        <v>0</v>
      </c>
      <c r="Q444" s="140">
        <v>0</v>
      </c>
      <c r="R444" s="139">
        <v>5</v>
      </c>
      <c r="S444" s="134">
        <v>120</v>
      </c>
      <c r="T444" s="134">
        <v>2000</v>
      </c>
      <c r="U444" s="134">
        <v>15</v>
      </c>
      <c r="V444" s="140">
        <v>5</v>
      </c>
      <c r="W444" s="15"/>
    </row>
    <row r="445" spans="1:23" ht="17.100000000000001" customHeight="1" x14ac:dyDescent="0.3">
      <c r="A445" s="139">
        <v>10408</v>
      </c>
      <c r="B445" s="135" t="s">
        <v>88</v>
      </c>
      <c r="C445" s="134" t="s">
        <v>540</v>
      </c>
      <c r="D445" s="134">
        <v>3</v>
      </c>
      <c r="E445" s="134" t="b">
        <v>0</v>
      </c>
      <c r="F445" s="134">
        <v>190</v>
      </c>
      <c r="G445" s="134" t="s">
        <v>127</v>
      </c>
      <c r="H445" s="137">
        <v>3</v>
      </c>
      <c r="I445" s="137">
        <v>0.2</v>
      </c>
      <c r="J445" s="134" t="s">
        <v>243</v>
      </c>
      <c r="K445" s="134" t="s">
        <v>129</v>
      </c>
      <c r="L445" s="134"/>
      <c r="M445" s="134">
        <v>0</v>
      </c>
      <c r="N445" s="134">
        <v>0</v>
      </c>
      <c r="O445" s="134">
        <v>4</v>
      </c>
      <c r="P445" s="134">
        <v>5</v>
      </c>
      <c r="Q445" s="140">
        <v>0</v>
      </c>
      <c r="R445" s="139">
        <v>5</v>
      </c>
      <c r="S445" s="134">
        <v>230</v>
      </c>
      <c r="T445" s="134">
        <v>5500</v>
      </c>
      <c r="U445" s="134">
        <v>40</v>
      </c>
      <c r="V445" s="140">
        <v>20</v>
      </c>
      <c r="W445" s="15"/>
    </row>
    <row r="446" spans="1:23" ht="17.100000000000001" customHeight="1" x14ac:dyDescent="0.3">
      <c r="A446" s="139">
        <v>10409</v>
      </c>
      <c r="B446" s="135" t="s">
        <v>88</v>
      </c>
      <c r="C446" s="134" t="s">
        <v>541</v>
      </c>
      <c r="D446" s="134">
        <v>3</v>
      </c>
      <c r="E446" s="134" t="b">
        <v>0</v>
      </c>
      <c r="F446" s="134">
        <v>180</v>
      </c>
      <c r="G446" s="134" t="s">
        <v>127</v>
      </c>
      <c r="H446" s="137">
        <v>3</v>
      </c>
      <c r="I446" s="137">
        <v>0.2</v>
      </c>
      <c r="J446" s="134" t="s">
        <v>189</v>
      </c>
      <c r="K446" s="134" t="s">
        <v>129</v>
      </c>
      <c r="L446" s="134"/>
      <c r="M446" s="134">
        <v>0</v>
      </c>
      <c r="N446" s="134">
        <v>0</v>
      </c>
      <c r="O446" s="134">
        <v>3</v>
      </c>
      <c r="P446" s="134">
        <v>3</v>
      </c>
      <c r="Q446" s="140">
        <v>0</v>
      </c>
      <c r="R446" s="139">
        <v>5</v>
      </c>
      <c r="S446" s="134">
        <v>230</v>
      </c>
      <c r="T446" s="134">
        <v>5500</v>
      </c>
      <c r="U446" s="134">
        <v>40</v>
      </c>
      <c r="V446" s="140">
        <v>20</v>
      </c>
      <c r="W446" s="15"/>
    </row>
    <row r="447" spans="1:23" ht="17.100000000000001" customHeight="1" x14ac:dyDescent="0.3">
      <c r="A447" s="139">
        <v>10410</v>
      </c>
      <c r="B447" s="135" t="s">
        <v>88</v>
      </c>
      <c r="C447" s="134" t="s">
        <v>542</v>
      </c>
      <c r="D447" s="134">
        <v>3</v>
      </c>
      <c r="E447" s="134" t="b">
        <v>0</v>
      </c>
      <c r="F447" s="134">
        <v>130</v>
      </c>
      <c r="G447" s="134" t="s">
        <v>127</v>
      </c>
      <c r="H447" s="134" t="s">
        <v>112</v>
      </c>
      <c r="I447" s="137">
        <v>0.4</v>
      </c>
      <c r="J447" s="134" t="s">
        <v>139</v>
      </c>
      <c r="K447" s="134" t="s">
        <v>137</v>
      </c>
      <c r="L447" s="134"/>
      <c r="M447" s="134">
        <v>0</v>
      </c>
      <c r="N447" s="134">
        <v>0</v>
      </c>
      <c r="O447" s="134">
        <v>0</v>
      </c>
      <c r="P447" s="134">
        <v>0</v>
      </c>
      <c r="Q447" s="140">
        <v>0</v>
      </c>
      <c r="R447" s="139">
        <v>5</v>
      </c>
      <c r="S447" s="134">
        <v>120</v>
      </c>
      <c r="T447" s="134">
        <v>2000</v>
      </c>
      <c r="U447" s="134">
        <v>15</v>
      </c>
      <c r="V447" s="140">
        <v>5</v>
      </c>
      <c r="W447" s="15"/>
    </row>
    <row r="448" spans="1:23" ht="17.100000000000001" customHeight="1" x14ac:dyDescent="0.3">
      <c r="A448" s="139">
        <v>10411</v>
      </c>
      <c r="B448" s="135" t="s">
        <v>88</v>
      </c>
      <c r="C448" s="134" t="s">
        <v>543</v>
      </c>
      <c r="D448" s="134">
        <v>3</v>
      </c>
      <c r="E448" s="134" t="b">
        <v>0</v>
      </c>
      <c r="F448" s="134">
        <v>165</v>
      </c>
      <c r="G448" s="134" t="s">
        <v>127</v>
      </c>
      <c r="H448" s="134" t="s">
        <v>112</v>
      </c>
      <c r="I448" s="137">
        <v>0.3</v>
      </c>
      <c r="J448" s="134" t="s">
        <v>252</v>
      </c>
      <c r="K448" s="134" t="s">
        <v>129</v>
      </c>
      <c r="L448" s="134"/>
      <c r="M448" s="134">
        <v>0</v>
      </c>
      <c r="N448" s="134">
        <v>0</v>
      </c>
      <c r="O448" s="134">
        <v>1</v>
      </c>
      <c r="P448" s="134">
        <v>2</v>
      </c>
      <c r="Q448" s="140">
        <v>0</v>
      </c>
      <c r="R448" s="139">
        <v>5</v>
      </c>
      <c r="S448" s="134">
        <v>170</v>
      </c>
      <c r="T448" s="134">
        <v>3500</v>
      </c>
      <c r="U448" s="134">
        <v>25</v>
      </c>
      <c r="V448" s="140">
        <v>10</v>
      </c>
      <c r="W448" s="15"/>
    </row>
    <row r="449" spans="1:23" ht="17.100000000000001" customHeight="1" x14ac:dyDescent="0.3">
      <c r="A449" s="139">
        <v>10412</v>
      </c>
      <c r="B449" s="135" t="s">
        <v>88</v>
      </c>
      <c r="C449" s="134" t="s">
        <v>544</v>
      </c>
      <c r="D449" s="134">
        <v>3</v>
      </c>
      <c r="E449" s="134" t="b">
        <v>0</v>
      </c>
      <c r="F449" s="134">
        <v>200</v>
      </c>
      <c r="G449" s="134" t="s">
        <v>127</v>
      </c>
      <c r="H449" s="137">
        <v>3</v>
      </c>
      <c r="I449" s="137">
        <v>0.2</v>
      </c>
      <c r="J449" s="134" t="s">
        <v>223</v>
      </c>
      <c r="K449" s="134" t="s">
        <v>129</v>
      </c>
      <c r="L449" s="134"/>
      <c r="M449" s="134">
        <v>0</v>
      </c>
      <c r="N449" s="134">
        <v>0</v>
      </c>
      <c r="O449" s="134">
        <v>5</v>
      </c>
      <c r="P449" s="134">
        <v>6</v>
      </c>
      <c r="Q449" s="140">
        <v>0</v>
      </c>
      <c r="R449" s="139">
        <v>5</v>
      </c>
      <c r="S449" s="134">
        <v>230</v>
      </c>
      <c r="T449" s="134">
        <v>5500</v>
      </c>
      <c r="U449" s="134">
        <v>40</v>
      </c>
      <c r="V449" s="140">
        <v>20</v>
      </c>
      <c r="W449" s="15"/>
    </row>
    <row r="450" spans="1:23" ht="17.100000000000001" customHeight="1" x14ac:dyDescent="0.3">
      <c r="A450" s="139">
        <v>10413</v>
      </c>
      <c r="B450" s="135" t="s">
        <v>88</v>
      </c>
      <c r="C450" s="134" t="s">
        <v>545</v>
      </c>
      <c r="D450" s="134">
        <v>3</v>
      </c>
      <c r="E450" s="134" t="b">
        <v>0</v>
      </c>
      <c r="F450" s="134">
        <v>200</v>
      </c>
      <c r="G450" s="134" t="s">
        <v>127</v>
      </c>
      <c r="H450" s="137">
        <v>3</v>
      </c>
      <c r="I450" s="137">
        <v>0.2</v>
      </c>
      <c r="J450" s="134" t="s">
        <v>223</v>
      </c>
      <c r="K450" s="134" t="s">
        <v>129</v>
      </c>
      <c r="L450" s="134"/>
      <c r="M450" s="134">
        <v>0</v>
      </c>
      <c r="N450" s="134">
        <v>0</v>
      </c>
      <c r="O450" s="134">
        <v>5</v>
      </c>
      <c r="P450" s="134">
        <v>6</v>
      </c>
      <c r="Q450" s="140">
        <v>0</v>
      </c>
      <c r="R450" s="139">
        <v>5</v>
      </c>
      <c r="S450" s="134">
        <v>230</v>
      </c>
      <c r="T450" s="134">
        <v>5500</v>
      </c>
      <c r="U450" s="134">
        <v>40</v>
      </c>
      <c r="V450" s="140">
        <v>20</v>
      </c>
      <c r="W450" s="15"/>
    </row>
    <row r="451" spans="1:23" ht="17.100000000000001" customHeight="1" x14ac:dyDescent="0.3">
      <c r="A451" s="139">
        <v>10414</v>
      </c>
      <c r="B451" s="135" t="s">
        <v>88</v>
      </c>
      <c r="C451" s="134" t="s">
        <v>546</v>
      </c>
      <c r="D451" s="134">
        <v>3</v>
      </c>
      <c r="E451" s="134" t="b">
        <v>0</v>
      </c>
      <c r="F451" s="134">
        <v>170</v>
      </c>
      <c r="G451" s="134" t="s">
        <v>127</v>
      </c>
      <c r="H451" s="137">
        <v>3</v>
      </c>
      <c r="I451" s="137">
        <v>0.3</v>
      </c>
      <c r="J451" s="134" t="s">
        <v>148</v>
      </c>
      <c r="K451" s="134" t="s">
        <v>129</v>
      </c>
      <c r="L451" s="134"/>
      <c r="M451" s="134">
        <v>0</v>
      </c>
      <c r="N451" s="134">
        <v>0</v>
      </c>
      <c r="O451" s="134">
        <v>2</v>
      </c>
      <c r="P451" s="134">
        <v>2</v>
      </c>
      <c r="Q451" s="140">
        <v>0</v>
      </c>
      <c r="R451" s="139">
        <v>5</v>
      </c>
      <c r="S451" s="134">
        <v>170</v>
      </c>
      <c r="T451" s="134">
        <v>3500</v>
      </c>
      <c r="U451" s="134">
        <v>25</v>
      </c>
      <c r="V451" s="140">
        <v>10</v>
      </c>
      <c r="W451" s="15"/>
    </row>
    <row r="452" spans="1:23" ht="17.100000000000001" customHeight="1" x14ac:dyDescent="0.3">
      <c r="A452" s="139">
        <v>10415</v>
      </c>
      <c r="B452" s="135" t="s">
        <v>88</v>
      </c>
      <c r="C452" s="134" t="s">
        <v>547</v>
      </c>
      <c r="D452" s="134">
        <v>3</v>
      </c>
      <c r="E452" s="134" t="b">
        <v>0</v>
      </c>
      <c r="F452" s="134">
        <v>160</v>
      </c>
      <c r="G452" s="134" t="s">
        <v>127</v>
      </c>
      <c r="H452" s="134" t="s">
        <v>112</v>
      </c>
      <c r="I452" s="137">
        <v>0.3</v>
      </c>
      <c r="J452" s="134" t="s">
        <v>166</v>
      </c>
      <c r="K452" s="134" t="s">
        <v>129</v>
      </c>
      <c r="L452" s="134"/>
      <c r="M452" s="134">
        <v>0</v>
      </c>
      <c r="N452" s="134">
        <v>0</v>
      </c>
      <c r="O452" s="134">
        <v>1</v>
      </c>
      <c r="P452" s="134">
        <v>1</v>
      </c>
      <c r="Q452" s="140">
        <v>0</v>
      </c>
      <c r="R452" s="139">
        <v>5</v>
      </c>
      <c r="S452" s="134">
        <v>170</v>
      </c>
      <c r="T452" s="134">
        <v>3500</v>
      </c>
      <c r="U452" s="134">
        <v>25</v>
      </c>
      <c r="V452" s="140">
        <v>10</v>
      </c>
      <c r="W452" s="15"/>
    </row>
    <row r="453" spans="1:23" ht="17.100000000000001" customHeight="1" x14ac:dyDescent="0.3">
      <c r="A453" s="139">
        <v>10416</v>
      </c>
      <c r="B453" s="135" t="s">
        <v>88</v>
      </c>
      <c r="C453" s="134" t="s">
        <v>548</v>
      </c>
      <c r="D453" s="134">
        <v>3</v>
      </c>
      <c r="E453" s="134" t="b">
        <v>0</v>
      </c>
      <c r="F453" s="134">
        <v>135</v>
      </c>
      <c r="G453" s="134" t="s">
        <v>127</v>
      </c>
      <c r="H453" s="134" t="s">
        <v>112</v>
      </c>
      <c r="I453" s="137">
        <v>0.4</v>
      </c>
      <c r="J453" s="134" t="s">
        <v>136</v>
      </c>
      <c r="K453" s="134" t="s">
        <v>137</v>
      </c>
      <c r="L453" s="134"/>
      <c r="M453" s="134">
        <v>0</v>
      </c>
      <c r="N453" s="134">
        <v>0</v>
      </c>
      <c r="O453" s="134">
        <v>0</v>
      </c>
      <c r="P453" s="134">
        <v>0</v>
      </c>
      <c r="Q453" s="140">
        <v>0</v>
      </c>
      <c r="R453" s="139">
        <v>5</v>
      </c>
      <c r="S453" s="134">
        <v>120</v>
      </c>
      <c r="T453" s="134">
        <v>2000</v>
      </c>
      <c r="U453" s="134">
        <v>15</v>
      </c>
      <c r="V453" s="140">
        <v>5</v>
      </c>
      <c r="W453" s="15"/>
    </row>
    <row r="454" spans="1:23" ht="17.100000000000001" customHeight="1" x14ac:dyDescent="0.3">
      <c r="A454" s="139">
        <v>10417</v>
      </c>
      <c r="B454" s="135" t="s">
        <v>88</v>
      </c>
      <c r="C454" s="134" t="s">
        <v>549</v>
      </c>
      <c r="D454" s="134">
        <v>3</v>
      </c>
      <c r="E454" s="134" t="b">
        <v>0</v>
      </c>
      <c r="F454" s="134">
        <v>170</v>
      </c>
      <c r="G454" s="134" t="s">
        <v>127</v>
      </c>
      <c r="H454" s="137">
        <v>3</v>
      </c>
      <c r="I454" s="137">
        <v>0.3</v>
      </c>
      <c r="J454" s="134" t="s">
        <v>148</v>
      </c>
      <c r="K454" s="134" t="s">
        <v>129</v>
      </c>
      <c r="L454" s="134"/>
      <c r="M454" s="134">
        <v>0</v>
      </c>
      <c r="N454" s="134">
        <v>0</v>
      </c>
      <c r="O454" s="134">
        <v>2</v>
      </c>
      <c r="P454" s="134">
        <v>3</v>
      </c>
      <c r="Q454" s="140">
        <v>0</v>
      </c>
      <c r="R454" s="139">
        <v>5</v>
      </c>
      <c r="S454" s="134">
        <v>170</v>
      </c>
      <c r="T454" s="134">
        <v>3500</v>
      </c>
      <c r="U454" s="134">
        <v>25</v>
      </c>
      <c r="V454" s="140">
        <v>10</v>
      </c>
      <c r="W454" s="15"/>
    </row>
    <row r="455" spans="1:23" ht="17.100000000000001" customHeight="1" x14ac:dyDescent="0.3">
      <c r="A455" s="139">
        <v>10418</v>
      </c>
      <c r="B455" s="135" t="s">
        <v>88</v>
      </c>
      <c r="C455" s="134" t="s">
        <v>550</v>
      </c>
      <c r="D455" s="134">
        <v>3</v>
      </c>
      <c r="E455" s="134" t="b">
        <v>0</v>
      </c>
      <c r="F455" s="134">
        <v>200</v>
      </c>
      <c r="G455" s="134" t="s">
        <v>127</v>
      </c>
      <c r="H455" s="137">
        <v>3</v>
      </c>
      <c r="I455" s="137">
        <v>0.2</v>
      </c>
      <c r="J455" s="134" t="s">
        <v>223</v>
      </c>
      <c r="K455" s="134" t="s">
        <v>129</v>
      </c>
      <c r="L455" s="134"/>
      <c r="M455" s="134">
        <v>0</v>
      </c>
      <c r="N455" s="134">
        <v>0</v>
      </c>
      <c r="O455" s="134">
        <v>5</v>
      </c>
      <c r="P455" s="134">
        <v>6</v>
      </c>
      <c r="Q455" s="140">
        <v>0</v>
      </c>
      <c r="R455" s="139">
        <v>5</v>
      </c>
      <c r="S455" s="134">
        <v>230</v>
      </c>
      <c r="T455" s="134">
        <v>5500</v>
      </c>
      <c r="U455" s="134">
        <v>40</v>
      </c>
      <c r="V455" s="140">
        <v>20</v>
      </c>
      <c r="W455" s="15"/>
    </row>
    <row r="456" spans="1:23" ht="17.100000000000001" customHeight="1" x14ac:dyDescent="0.3">
      <c r="A456" s="139">
        <v>10419</v>
      </c>
      <c r="B456" s="135" t="s">
        <v>88</v>
      </c>
      <c r="C456" s="134" t="s">
        <v>551</v>
      </c>
      <c r="D456" s="134">
        <v>3</v>
      </c>
      <c r="E456" s="134" t="b">
        <v>0</v>
      </c>
      <c r="F456" s="134">
        <v>200</v>
      </c>
      <c r="G456" s="134" t="s">
        <v>127</v>
      </c>
      <c r="H456" s="137">
        <v>3</v>
      </c>
      <c r="I456" s="137">
        <v>0.2</v>
      </c>
      <c r="J456" s="134" t="s">
        <v>223</v>
      </c>
      <c r="K456" s="134" t="s">
        <v>129</v>
      </c>
      <c r="L456" s="134"/>
      <c r="M456" s="134">
        <v>0</v>
      </c>
      <c r="N456" s="134">
        <v>0</v>
      </c>
      <c r="O456" s="134">
        <v>5</v>
      </c>
      <c r="P456" s="134">
        <v>6</v>
      </c>
      <c r="Q456" s="140">
        <v>0</v>
      </c>
      <c r="R456" s="139">
        <v>5</v>
      </c>
      <c r="S456" s="134">
        <v>230</v>
      </c>
      <c r="T456" s="134">
        <v>5500</v>
      </c>
      <c r="U456" s="134">
        <v>40</v>
      </c>
      <c r="V456" s="140">
        <v>20</v>
      </c>
      <c r="W456" s="15"/>
    </row>
    <row r="457" spans="1:23" ht="17.100000000000001" customHeight="1" x14ac:dyDescent="0.3">
      <c r="A457" s="139">
        <v>10420</v>
      </c>
      <c r="B457" s="135" t="s">
        <v>88</v>
      </c>
      <c r="C457" s="134" t="s">
        <v>552</v>
      </c>
      <c r="D457" s="134">
        <v>3</v>
      </c>
      <c r="E457" s="134" t="b">
        <v>0</v>
      </c>
      <c r="F457" s="134">
        <v>190</v>
      </c>
      <c r="G457" s="134" t="s">
        <v>127</v>
      </c>
      <c r="H457" s="137">
        <v>3</v>
      </c>
      <c r="I457" s="137">
        <v>0.2</v>
      </c>
      <c r="J457" s="134" t="s">
        <v>243</v>
      </c>
      <c r="K457" s="134" t="s">
        <v>129</v>
      </c>
      <c r="L457" s="134"/>
      <c r="M457" s="134">
        <v>0</v>
      </c>
      <c r="N457" s="134">
        <v>0</v>
      </c>
      <c r="O457" s="134">
        <v>4</v>
      </c>
      <c r="P457" s="134">
        <v>5</v>
      </c>
      <c r="Q457" s="140">
        <v>0</v>
      </c>
      <c r="R457" s="139">
        <v>5</v>
      </c>
      <c r="S457" s="134">
        <v>230</v>
      </c>
      <c r="T457" s="134">
        <v>5500</v>
      </c>
      <c r="U457" s="134">
        <v>40</v>
      </c>
      <c r="V457" s="140">
        <v>20</v>
      </c>
      <c r="W457" s="15"/>
    </row>
    <row r="458" spans="1:23" ht="17.100000000000001" customHeight="1" x14ac:dyDescent="0.3">
      <c r="A458" s="139">
        <v>10421</v>
      </c>
      <c r="B458" s="135" t="s">
        <v>88</v>
      </c>
      <c r="C458" s="134" t="s">
        <v>553</v>
      </c>
      <c r="D458" s="134">
        <v>3</v>
      </c>
      <c r="E458" s="134" t="b">
        <v>0</v>
      </c>
      <c r="F458" s="134">
        <v>185</v>
      </c>
      <c r="G458" s="134" t="s">
        <v>127</v>
      </c>
      <c r="H458" s="137">
        <v>3</v>
      </c>
      <c r="I458" s="137">
        <v>0.2</v>
      </c>
      <c r="J458" s="134" t="s">
        <v>142</v>
      </c>
      <c r="K458" s="134" t="s">
        <v>129</v>
      </c>
      <c r="L458" s="134"/>
      <c r="M458" s="134">
        <v>0</v>
      </c>
      <c r="N458" s="134">
        <v>0</v>
      </c>
      <c r="O458" s="134">
        <v>3</v>
      </c>
      <c r="P458" s="134">
        <v>4</v>
      </c>
      <c r="Q458" s="140">
        <v>0</v>
      </c>
      <c r="R458" s="139">
        <v>5</v>
      </c>
      <c r="S458" s="134">
        <v>230</v>
      </c>
      <c r="T458" s="134">
        <v>5500</v>
      </c>
      <c r="U458" s="134">
        <v>40</v>
      </c>
      <c r="V458" s="140">
        <v>20</v>
      </c>
      <c r="W458" s="15"/>
    </row>
    <row r="459" spans="1:23" ht="17.100000000000001" customHeight="1" x14ac:dyDescent="0.3">
      <c r="A459" s="139">
        <v>10422</v>
      </c>
      <c r="B459" s="135" t="s">
        <v>88</v>
      </c>
      <c r="C459" s="134" t="s">
        <v>554</v>
      </c>
      <c r="D459" s="134">
        <v>3</v>
      </c>
      <c r="E459" s="134" t="b">
        <v>0</v>
      </c>
      <c r="F459" s="134">
        <v>200</v>
      </c>
      <c r="G459" s="134" t="s">
        <v>127</v>
      </c>
      <c r="H459" s="137">
        <v>3</v>
      </c>
      <c r="I459" s="137">
        <v>0.2</v>
      </c>
      <c r="J459" s="134" t="s">
        <v>223</v>
      </c>
      <c r="K459" s="134" t="s">
        <v>129</v>
      </c>
      <c r="L459" s="134"/>
      <c r="M459" s="134">
        <v>0</v>
      </c>
      <c r="N459" s="134">
        <v>0</v>
      </c>
      <c r="O459" s="134">
        <v>5</v>
      </c>
      <c r="P459" s="134">
        <v>6</v>
      </c>
      <c r="Q459" s="140">
        <v>0</v>
      </c>
      <c r="R459" s="139">
        <v>5</v>
      </c>
      <c r="S459" s="134">
        <v>230</v>
      </c>
      <c r="T459" s="134">
        <v>5500</v>
      </c>
      <c r="U459" s="134">
        <v>40</v>
      </c>
      <c r="V459" s="140">
        <v>20</v>
      </c>
      <c r="W459" s="15"/>
    </row>
    <row r="460" spans="1:23" ht="17.100000000000001" customHeight="1" x14ac:dyDescent="0.3">
      <c r="A460" s="139">
        <v>10423</v>
      </c>
      <c r="B460" s="135" t="s">
        <v>88</v>
      </c>
      <c r="C460" s="134" t="s">
        <v>555</v>
      </c>
      <c r="D460" s="134">
        <v>3</v>
      </c>
      <c r="E460" s="134" t="b">
        <v>0</v>
      </c>
      <c r="F460" s="134">
        <v>200</v>
      </c>
      <c r="G460" s="134" t="s">
        <v>127</v>
      </c>
      <c r="H460" s="137">
        <v>3</v>
      </c>
      <c r="I460" s="137">
        <v>0.2</v>
      </c>
      <c r="J460" s="134" t="s">
        <v>223</v>
      </c>
      <c r="K460" s="134" t="s">
        <v>129</v>
      </c>
      <c r="L460" s="134"/>
      <c r="M460" s="134">
        <v>0</v>
      </c>
      <c r="N460" s="134">
        <v>0</v>
      </c>
      <c r="O460" s="134">
        <v>5</v>
      </c>
      <c r="P460" s="134">
        <v>6</v>
      </c>
      <c r="Q460" s="140">
        <v>0</v>
      </c>
      <c r="R460" s="139">
        <v>5</v>
      </c>
      <c r="S460" s="134">
        <v>230</v>
      </c>
      <c r="T460" s="134">
        <v>5500</v>
      </c>
      <c r="U460" s="134">
        <v>40</v>
      </c>
      <c r="V460" s="140">
        <v>20</v>
      </c>
      <c r="W460" s="15"/>
    </row>
    <row r="461" spans="1:23" ht="17.100000000000001" customHeight="1" x14ac:dyDescent="0.3">
      <c r="A461" s="139">
        <v>10424</v>
      </c>
      <c r="B461" s="135" t="s">
        <v>88</v>
      </c>
      <c r="C461" s="134" t="s">
        <v>556</v>
      </c>
      <c r="D461" s="134">
        <v>3</v>
      </c>
      <c r="E461" s="134" t="b">
        <v>0</v>
      </c>
      <c r="F461" s="134">
        <v>170</v>
      </c>
      <c r="G461" s="134" t="s">
        <v>127</v>
      </c>
      <c r="H461" s="137">
        <v>3</v>
      </c>
      <c r="I461" s="137">
        <v>0.3</v>
      </c>
      <c r="J461" s="134" t="s">
        <v>148</v>
      </c>
      <c r="K461" s="134" t="s">
        <v>129</v>
      </c>
      <c r="L461" s="134"/>
      <c r="M461" s="134">
        <v>0</v>
      </c>
      <c r="N461" s="134">
        <v>0</v>
      </c>
      <c r="O461" s="134">
        <v>2</v>
      </c>
      <c r="P461" s="134">
        <v>2</v>
      </c>
      <c r="Q461" s="140">
        <v>0</v>
      </c>
      <c r="R461" s="139">
        <v>5</v>
      </c>
      <c r="S461" s="134">
        <v>170</v>
      </c>
      <c r="T461" s="134">
        <v>3500</v>
      </c>
      <c r="U461" s="134">
        <v>25</v>
      </c>
      <c r="V461" s="140">
        <v>10</v>
      </c>
      <c r="W461" s="15"/>
    </row>
    <row r="462" spans="1:23" ht="17.100000000000001" customHeight="1" x14ac:dyDescent="0.3">
      <c r="A462" s="139">
        <v>10425</v>
      </c>
      <c r="B462" s="135" t="s">
        <v>88</v>
      </c>
      <c r="C462" s="134" t="s">
        <v>557</v>
      </c>
      <c r="D462" s="134">
        <v>3</v>
      </c>
      <c r="E462" s="134" t="b">
        <v>0</v>
      </c>
      <c r="F462" s="134">
        <v>200</v>
      </c>
      <c r="G462" s="134" t="s">
        <v>127</v>
      </c>
      <c r="H462" s="137">
        <v>3</v>
      </c>
      <c r="I462" s="137">
        <v>0.2</v>
      </c>
      <c r="J462" s="134" t="s">
        <v>223</v>
      </c>
      <c r="K462" s="134" t="s">
        <v>129</v>
      </c>
      <c r="L462" s="134"/>
      <c r="M462" s="134">
        <v>0</v>
      </c>
      <c r="N462" s="134">
        <v>0</v>
      </c>
      <c r="O462" s="134">
        <v>5</v>
      </c>
      <c r="P462" s="134">
        <v>6</v>
      </c>
      <c r="Q462" s="140">
        <v>0</v>
      </c>
      <c r="R462" s="139">
        <v>5</v>
      </c>
      <c r="S462" s="134">
        <v>230</v>
      </c>
      <c r="T462" s="134">
        <v>5500</v>
      </c>
      <c r="U462" s="134">
        <v>40</v>
      </c>
      <c r="V462" s="140">
        <v>20</v>
      </c>
      <c r="W462" s="15"/>
    </row>
    <row r="463" spans="1:23" ht="17.100000000000001" customHeight="1" x14ac:dyDescent="0.3">
      <c r="A463" s="139">
        <v>10426</v>
      </c>
      <c r="B463" s="135" t="s">
        <v>88</v>
      </c>
      <c r="C463" s="134" t="s">
        <v>558</v>
      </c>
      <c r="D463" s="134">
        <v>3</v>
      </c>
      <c r="E463" s="134" t="b">
        <v>0</v>
      </c>
      <c r="F463" s="134">
        <v>190</v>
      </c>
      <c r="G463" s="134" t="s">
        <v>127</v>
      </c>
      <c r="H463" s="137">
        <v>3</v>
      </c>
      <c r="I463" s="137">
        <v>0.2</v>
      </c>
      <c r="J463" s="134" t="s">
        <v>243</v>
      </c>
      <c r="K463" s="134" t="s">
        <v>129</v>
      </c>
      <c r="L463" s="134"/>
      <c r="M463" s="134">
        <v>0</v>
      </c>
      <c r="N463" s="134">
        <v>0</v>
      </c>
      <c r="O463" s="134">
        <v>4</v>
      </c>
      <c r="P463" s="134">
        <v>5</v>
      </c>
      <c r="Q463" s="140">
        <v>0</v>
      </c>
      <c r="R463" s="139">
        <v>5</v>
      </c>
      <c r="S463" s="134">
        <v>230</v>
      </c>
      <c r="T463" s="134">
        <v>5500</v>
      </c>
      <c r="U463" s="134">
        <v>40</v>
      </c>
      <c r="V463" s="140">
        <v>20</v>
      </c>
      <c r="W463" s="15"/>
    </row>
    <row r="464" spans="1:23" ht="17.100000000000001" customHeight="1" x14ac:dyDescent="0.3">
      <c r="A464" s="139">
        <v>10427</v>
      </c>
      <c r="B464" s="135" t="s">
        <v>88</v>
      </c>
      <c r="C464" s="134" t="s">
        <v>559</v>
      </c>
      <c r="D464" s="134">
        <v>3</v>
      </c>
      <c r="E464" s="134" t="b">
        <v>0</v>
      </c>
      <c r="F464" s="134">
        <v>190</v>
      </c>
      <c r="G464" s="134" t="s">
        <v>127</v>
      </c>
      <c r="H464" s="137">
        <v>3</v>
      </c>
      <c r="I464" s="137">
        <v>0.2</v>
      </c>
      <c r="J464" s="134" t="s">
        <v>243</v>
      </c>
      <c r="K464" s="134" t="s">
        <v>129</v>
      </c>
      <c r="L464" s="134"/>
      <c r="M464" s="134">
        <v>0</v>
      </c>
      <c r="N464" s="134">
        <v>0</v>
      </c>
      <c r="O464" s="134">
        <v>4</v>
      </c>
      <c r="P464" s="134">
        <v>4</v>
      </c>
      <c r="Q464" s="140">
        <v>0</v>
      </c>
      <c r="R464" s="139">
        <v>5</v>
      </c>
      <c r="S464" s="134">
        <v>230</v>
      </c>
      <c r="T464" s="134">
        <v>5500</v>
      </c>
      <c r="U464" s="134">
        <v>40</v>
      </c>
      <c r="V464" s="140">
        <v>20</v>
      </c>
      <c r="W464" s="15"/>
    </row>
    <row r="465" spans="1:23" ht="17.100000000000001" customHeight="1" x14ac:dyDescent="0.3">
      <c r="A465" s="139">
        <v>10428</v>
      </c>
      <c r="B465" s="135" t="s">
        <v>88</v>
      </c>
      <c r="C465" s="134" t="s">
        <v>560</v>
      </c>
      <c r="D465" s="134">
        <v>3</v>
      </c>
      <c r="E465" s="134" t="b">
        <v>0</v>
      </c>
      <c r="F465" s="134">
        <v>190</v>
      </c>
      <c r="G465" s="134" t="s">
        <v>127</v>
      </c>
      <c r="H465" s="137">
        <v>3</v>
      </c>
      <c r="I465" s="137">
        <v>0.2</v>
      </c>
      <c r="J465" s="134" t="s">
        <v>243</v>
      </c>
      <c r="K465" s="134" t="s">
        <v>129</v>
      </c>
      <c r="L465" s="134"/>
      <c r="M465" s="134">
        <v>0</v>
      </c>
      <c r="N465" s="134">
        <v>0</v>
      </c>
      <c r="O465" s="134">
        <v>4</v>
      </c>
      <c r="P465" s="134">
        <v>5</v>
      </c>
      <c r="Q465" s="140">
        <v>0</v>
      </c>
      <c r="R465" s="139">
        <v>5</v>
      </c>
      <c r="S465" s="134">
        <v>230</v>
      </c>
      <c r="T465" s="134">
        <v>5500</v>
      </c>
      <c r="U465" s="134">
        <v>40</v>
      </c>
      <c r="V465" s="140">
        <v>20</v>
      </c>
      <c r="W465" s="15"/>
    </row>
    <row r="466" spans="1:23" ht="17.100000000000001" customHeight="1" x14ac:dyDescent="0.3">
      <c r="A466" s="139">
        <v>10429</v>
      </c>
      <c r="B466" s="135" t="s">
        <v>88</v>
      </c>
      <c r="C466" s="134" t="s">
        <v>561</v>
      </c>
      <c r="D466" s="134">
        <v>3</v>
      </c>
      <c r="E466" s="134" t="b">
        <v>0</v>
      </c>
      <c r="F466" s="134">
        <v>200</v>
      </c>
      <c r="G466" s="134" t="s">
        <v>127</v>
      </c>
      <c r="H466" s="137">
        <v>3</v>
      </c>
      <c r="I466" s="137">
        <v>0.2</v>
      </c>
      <c r="J466" s="134" t="s">
        <v>223</v>
      </c>
      <c r="K466" s="134" t="s">
        <v>129</v>
      </c>
      <c r="L466" s="134"/>
      <c r="M466" s="134">
        <v>0</v>
      </c>
      <c r="N466" s="134">
        <v>0</v>
      </c>
      <c r="O466" s="134">
        <v>5</v>
      </c>
      <c r="P466" s="134">
        <v>6</v>
      </c>
      <c r="Q466" s="140">
        <v>0</v>
      </c>
      <c r="R466" s="139">
        <v>5</v>
      </c>
      <c r="S466" s="134">
        <v>230</v>
      </c>
      <c r="T466" s="134">
        <v>5500</v>
      </c>
      <c r="U466" s="134">
        <v>40</v>
      </c>
      <c r="V466" s="140">
        <v>20</v>
      </c>
      <c r="W466" s="15"/>
    </row>
    <row r="467" spans="1:23" ht="17.100000000000001" customHeight="1" x14ac:dyDescent="0.3">
      <c r="A467" s="139">
        <v>10430</v>
      </c>
      <c r="B467" s="135" t="s">
        <v>88</v>
      </c>
      <c r="C467" s="134" t="s">
        <v>562</v>
      </c>
      <c r="D467" s="134">
        <v>3</v>
      </c>
      <c r="E467" s="134" t="b">
        <v>0</v>
      </c>
      <c r="F467" s="134">
        <v>190</v>
      </c>
      <c r="G467" s="134" t="s">
        <v>127</v>
      </c>
      <c r="H467" s="137">
        <v>3</v>
      </c>
      <c r="I467" s="137">
        <v>0.2</v>
      </c>
      <c r="J467" s="134" t="s">
        <v>243</v>
      </c>
      <c r="K467" s="134" t="s">
        <v>129</v>
      </c>
      <c r="L467" s="134"/>
      <c r="M467" s="134">
        <v>0</v>
      </c>
      <c r="N467" s="134">
        <v>0</v>
      </c>
      <c r="O467" s="134">
        <v>4</v>
      </c>
      <c r="P467" s="134">
        <v>4</v>
      </c>
      <c r="Q467" s="140">
        <v>0</v>
      </c>
      <c r="R467" s="139">
        <v>5</v>
      </c>
      <c r="S467" s="134">
        <v>230</v>
      </c>
      <c r="T467" s="134">
        <v>5500</v>
      </c>
      <c r="U467" s="134">
        <v>40</v>
      </c>
      <c r="V467" s="140">
        <v>20</v>
      </c>
      <c r="W467" s="15"/>
    </row>
    <row r="468" spans="1:23" ht="17.100000000000001" customHeight="1" x14ac:dyDescent="0.3">
      <c r="A468" s="139">
        <v>10431</v>
      </c>
      <c r="B468" s="135" t="s">
        <v>88</v>
      </c>
      <c r="C468" s="134" t="s">
        <v>563</v>
      </c>
      <c r="D468" s="134">
        <v>3</v>
      </c>
      <c r="E468" s="134" t="b">
        <v>0</v>
      </c>
      <c r="F468" s="134">
        <v>200</v>
      </c>
      <c r="G468" s="134" t="s">
        <v>127</v>
      </c>
      <c r="H468" s="137">
        <v>3</v>
      </c>
      <c r="I468" s="137">
        <v>0.2</v>
      </c>
      <c r="J468" s="134" t="s">
        <v>223</v>
      </c>
      <c r="K468" s="134" t="s">
        <v>129</v>
      </c>
      <c r="L468" s="134"/>
      <c r="M468" s="134">
        <v>0</v>
      </c>
      <c r="N468" s="134">
        <v>0</v>
      </c>
      <c r="O468" s="134">
        <v>5</v>
      </c>
      <c r="P468" s="134">
        <v>6</v>
      </c>
      <c r="Q468" s="140">
        <v>0</v>
      </c>
      <c r="R468" s="139">
        <v>5</v>
      </c>
      <c r="S468" s="134">
        <v>230</v>
      </c>
      <c r="T468" s="134">
        <v>5500</v>
      </c>
      <c r="U468" s="134">
        <v>40</v>
      </c>
      <c r="V468" s="140">
        <v>20</v>
      </c>
      <c r="W468" s="15"/>
    </row>
    <row r="469" spans="1:23" ht="17.100000000000001" customHeight="1" x14ac:dyDescent="0.3">
      <c r="A469" s="139">
        <v>10432</v>
      </c>
      <c r="B469" s="135" t="s">
        <v>88</v>
      </c>
      <c r="C469" s="134" t="s">
        <v>564</v>
      </c>
      <c r="D469" s="134">
        <v>3</v>
      </c>
      <c r="E469" s="134" t="b">
        <v>0</v>
      </c>
      <c r="F469" s="134">
        <v>170</v>
      </c>
      <c r="G469" s="134" t="s">
        <v>127</v>
      </c>
      <c r="H469" s="137">
        <v>3</v>
      </c>
      <c r="I469" s="137">
        <v>0.3</v>
      </c>
      <c r="J469" s="134" t="s">
        <v>148</v>
      </c>
      <c r="K469" s="134" t="s">
        <v>129</v>
      </c>
      <c r="L469" s="134"/>
      <c r="M469" s="134">
        <v>0</v>
      </c>
      <c r="N469" s="134">
        <v>0</v>
      </c>
      <c r="O469" s="134">
        <v>2</v>
      </c>
      <c r="P469" s="134">
        <v>2</v>
      </c>
      <c r="Q469" s="140">
        <v>0</v>
      </c>
      <c r="R469" s="139">
        <v>5</v>
      </c>
      <c r="S469" s="134">
        <v>170</v>
      </c>
      <c r="T469" s="134">
        <v>3500</v>
      </c>
      <c r="U469" s="134">
        <v>25</v>
      </c>
      <c r="V469" s="140">
        <v>10</v>
      </c>
      <c r="W469" s="15"/>
    </row>
    <row r="470" spans="1:23" ht="17.100000000000001" customHeight="1" x14ac:dyDescent="0.3">
      <c r="A470" s="139">
        <v>10433</v>
      </c>
      <c r="B470" s="135" t="s">
        <v>88</v>
      </c>
      <c r="C470" s="134" t="s">
        <v>565</v>
      </c>
      <c r="D470" s="134">
        <v>3</v>
      </c>
      <c r="E470" s="134" t="b">
        <v>0</v>
      </c>
      <c r="F470" s="134">
        <v>200</v>
      </c>
      <c r="G470" s="134" t="s">
        <v>127</v>
      </c>
      <c r="H470" s="137">
        <v>3</v>
      </c>
      <c r="I470" s="137">
        <v>0.2</v>
      </c>
      <c r="J470" s="134" t="s">
        <v>223</v>
      </c>
      <c r="K470" s="134" t="s">
        <v>129</v>
      </c>
      <c r="L470" s="134"/>
      <c r="M470" s="134">
        <v>0</v>
      </c>
      <c r="N470" s="134">
        <v>0</v>
      </c>
      <c r="O470" s="134">
        <v>5</v>
      </c>
      <c r="P470" s="134">
        <v>6</v>
      </c>
      <c r="Q470" s="140">
        <v>0</v>
      </c>
      <c r="R470" s="139">
        <v>5</v>
      </c>
      <c r="S470" s="134">
        <v>230</v>
      </c>
      <c r="T470" s="134">
        <v>5500</v>
      </c>
      <c r="U470" s="134">
        <v>40</v>
      </c>
      <c r="V470" s="140">
        <v>20</v>
      </c>
      <c r="W470" s="15"/>
    </row>
    <row r="471" spans="1:23" ht="17.100000000000001" customHeight="1" x14ac:dyDescent="0.3">
      <c r="A471" s="139">
        <v>10434</v>
      </c>
      <c r="B471" s="135" t="s">
        <v>88</v>
      </c>
      <c r="C471" s="134" t="s">
        <v>566</v>
      </c>
      <c r="D471" s="134">
        <v>3</v>
      </c>
      <c r="E471" s="134" t="b">
        <v>0</v>
      </c>
      <c r="F471" s="134">
        <v>180</v>
      </c>
      <c r="G471" s="134" t="s">
        <v>127</v>
      </c>
      <c r="H471" s="137">
        <v>3</v>
      </c>
      <c r="I471" s="137">
        <v>0.2</v>
      </c>
      <c r="J471" s="134" t="s">
        <v>189</v>
      </c>
      <c r="K471" s="134" t="s">
        <v>129</v>
      </c>
      <c r="L471" s="134"/>
      <c r="M471" s="134">
        <v>0</v>
      </c>
      <c r="N471" s="134">
        <v>0</v>
      </c>
      <c r="O471" s="134">
        <v>3</v>
      </c>
      <c r="P471" s="134">
        <v>4</v>
      </c>
      <c r="Q471" s="140">
        <v>0</v>
      </c>
      <c r="R471" s="139">
        <v>5</v>
      </c>
      <c r="S471" s="134">
        <v>230</v>
      </c>
      <c r="T471" s="134">
        <v>5500</v>
      </c>
      <c r="U471" s="134">
        <v>40</v>
      </c>
      <c r="V471" s="140">
        <v>20</v>
      </c>
      <c r="W471" s="15"/>
    </row>
    <row r="472" spans="1:23" ht="17.100000000000001" customHeight="1" x14ac:dyDescent="0.3">
      <c r="A472" s="139">
        <v>10435</v>
      </c>
      <c r="B472" s="135" t="s">
        <v>88</v>
      </c>
      <c r="C472" s="134" t="s">
        <v>567</v>
      </c>
      <c r="D472" s="134">
        <v>3</v>
      </c>
      <c r="E472" s="134" t="b">
        <v>0</v>
      </c>
      <c r="F472" s="134">
        <v>170</v>
      </c>
      <c r="G472" s="134" t="s">
        <v>127</v>
      </c>
      <c r="H472" s="137">
        <v>3</v>
      </c>
      <c r="I472" s="137">
        <v>0.3</v>
      </c>
      <c r="J472" s="134" t="s">
        <v>148</v>
      </c>
      <c r="K472" s="134" t="s">
        <v>129</v>
      </c>
      <c r="L472" s="134"/>
      <c r="M472" s="134">
        <v>0</v>
      </c>
      <c r="N472" s="134">
        <v>0</v>
      </c>
      <c r="O472" s="134">
        <v>2</v>
      </c>
      <c r="P472" s="134">
        <v>2</v>
      </c>
      <c r="Q472" s="140">
        <v>0</v>
      </c>
      <c r="R472" s="139">
        <v>5</v>
      </c>
      <c r="S472" s="134">
        <v>170</v>
      </c>
      <c r="T472" s="134">
        <v>3500</v>
      </c>
      <c r="U472" s="134">
        <v>25</v>
      </c>
      <c r="V472" s="140">
        <v>10</v>
      </c>
      <c r="W472" s="15"/>
    </row>
    <row r="473" spans="1:23" ht="17.100000000000001" customHeight="1" x14ac:dyDescent="0.3">
      <c r="A473" s="139">
        <v>10436</v>
      </c>
      <c r="B473" s="135" t="s">
        <v>88</v>
      </c>
      <c r="C473" s="134" t="s">
        <v>568</v>
      </c>
      <c r="D473" s="134">
        <v>3</v>
      </c>
      <c r="E473" s="134" t="b">
        <v>0</v>
      </c>
      <c r="F473" s="134">
        <v>155</v>
      </c>
      <c r="G473" s="134" t="s">
        <v>127</v>
      </c>
      <c r="H473" s="134" t="s">
        <v>112</v>
      </c>
      <c r="I473" s="137">
        <v>0.4</v>
      </c>
      <c r="J473" s="134" t="s">
        <v>264</v>
      </c>
      <c r="K473" s="134" t="s">
        <v>129</v>
      </c>
      <c r="L473" s="134"/>
      <c r="M473" s="134">
        <v>0</v>
      </c>
      <c r="N473" s="134">
        <v>0</v>
      </c>
      <c r="O473" s="134">
        <v>0</v>
      </c>
      <c r="P473" s="134">
        <v>1</v>
      </c>
      <c r="Q473" s="140">
        <v>0</v>
      </c>
      <c r="R473" s="139">
        <v>5</v>
      </c>
      <c r="S473" s="134">
        <v>170</v>
      </c>
      <c r="T473" s="134">
        <v>3500</v>
      </c>
      <c r="U473" s="134">
        <v>25</v>
      </c>
      <c r="V473" s="140">
        <v>10</v>
      </c>
      <c r="W473" s="15"/>
    </row>
    <row r="474" spans="1:23" ht="17.100000000000001" customHeight="1" x14ac:dyDescent="0.3">
      <c r="A474" s="139">
        <v>10437</v>
      </c>
      <c r="B474" s="135" t="s">
        <v>88</v>
      </c>
      <c r="C474" s="134" t="s">
        <v>569</v>
      </c>
      <c r="D474" s="134">
        <v>3</v>
      </c>
      <c r="E474" s="134" t="b">
        <v>0</v>
      </c>
      <c r="F474" s="134">
        <v>155</v>
      </c>
      <c r="G474" s="134" t="s">
        <v>127</v>
      </c>
      <c r="H474" s="134" t="s">
        <v>112</v>
      </c>
      <c r="I474" s="137">
        <v>0.4</v>
      </c>
      <c r="J474" s="134" t="s">
        <v>264</v>
      </c>
      <c r="K474" s="134" t="s">
        <v>129</v>
      </c>
      <c r="L474" s="134"/>
      <c r="M474" s="134">
        <v>0</v>
      </c>
      <c r="N474" s="134">
        <v>0</v>
      </c>
      <c r="O474" s="134">
        <v>1</v>
      </c>
      <c r="P474" s="134">
        <v>1</v>
      </c>
      <c r="Q474" s="140">
        <v>0</v>
      </c>
      <c r="R474" s="139">
        <v>5</v>
      </c>
      <c r="S474" s="134">
        <v>170</v>
      </c>
      <c r="T474" s="134">
        <v>3500</v>
      </c>
      <c r="U474" s="134">
        <v>25</v>
      </c>
      <c r="V474" s="140">
        <v>10</v>
      </c>
      <c r="W474" s="15"/>
    </row>
    <row r="475" spans="1:23" ht="17.100000000000001" customHeight="1" x14ac:dyDescent="0.3">
      <c r="A475" s="139">
        <v>10438</v>
      </c>
      <c r="B475" s="135" t="s">
        <v>88</v>
      </c>
      <c r="C475" s="134" t="s">
        <v>570</v>
      </c>
      <c r="D475" s="134">
        <v>3</v>
      </c>
      <c r="E475" s="134" t="b">
        <v>0</v>
      </c>
      <c r="F475" s="134">
        <v>190</v>
      </c>
      <c r="G475" s="134" t="s">
        <v>127</v>
      </c>
      <c r="H475" s="137">
        <v>3</v>
      </c>
      <c r="I475" s="137">
        <v>0.2</v>
      </c>
      <c r="J475" s="134" t="s">
        <v>243</v>
      </c>
      <c r="K475" s="134" t="s">
        <v>129</v>
      </c>
      <c r="L475" s="134"/>
      <c r="M475" s="134">
        <v>0</v>
      </c>
      <c r="N475" s="134">
        <v>0</v>
      </c>
      <c r="O475" s="134">
        <v>4</v>
      </c>
      <c r="P475" s="134">
        <v>5</v>
      </c>
      <c r="Q475" s="140">
        <v>0</v>
      </c>
      <c r="R475" s="139">
        <v>5</v>
      </c>
      <c r="S475" s="134">
        <v>230</v>
      </c>
      <c r="T475" s="134">
        <v>5500</v>
      </c>
      <c r="U475" s="134">
        <v>40</v>
      </c>
      <c r="V475" s="140">
        <v>20</v>
      </c>
      <c r="W475" s="15"/>
    </row>
    <row r="476" spans="1:23" ht="17.100000000000001" customHeight="1" x14ac:dyDescent="0.3">
      <c r="A476" s="139">
        <v>10439</v>
      </c>
      <c r="B476" s="135" t="s">
        <v>88</v>
      </c>
      <c r="C476" s="134" t="s">
        <v>571</v>
      </c>
      <c r="D476" s="134">
        <v>3</v>
      </c>
      <c r="E476" s="134" t="b">
        <v>0</v>
      </c>
      <c r="F476" s="134">
        <v>165</v>
      </c>
      <c r="G476" s="134" t="s">
        <v>127</v>
      </c>
      <c r="H476" s="134" t="s">
        <v>112</v>
      </c>
      <c r="I476" s="137">
        <v>0.3</v>
      </c>
      <c r="J476" s="134" t="s">
        <v>252</v>
      </c>
      <c r="K476" s="134" t="s">
        <v>129</v>
      </c>
      <c r="L476" s="134"/>
      <c r="M476" s="134">
        <v>0</v>
      </c>
      <c r="N476" s="134">
        <v>0</v>
      </c>
      <c r="O476" s="134">
        <v>1</v>
      </c>
      <c r="P476" s="134">
        <v>2</v>
      </c>
      <c r="Q476" s="140">
        <v>0</v>
      </c>
      <c r="R476" s="139">
        <v>5</v>
      </c>
      <c r="S476" s="134">
        <v>170</v>
      </c>
      <c r="T476" s="134">
        <v>3500</v>
      </c>
      <c r="U476" s="134">
        <v>25</v>
      </c>
      <c r="V476" s="140">
        <v>10</v>
      </c>
      <c r="W476" s="15"/>
    </row>
    <row r="477" spans="1:23" ht="17.100000000000001" customHeight="1" x14ac:dyDescent="0.3">
      <c r="A477" s="139">
        <v>10440</v>
      </c>
      <c r="B477" s="135" t="s">
        <v>88</v>
      </c>
      <c r="C477" s="134" t="s">
        <v>572</v>
      </c>
      <c r="D477" s="134">
        <v>3</v>
      </c>
      <c r="E477" s="134" t="b">
        <v>0</v>
      </c>
      <c r="F477" s="134">
        <v>170</v>
      </c>
      <c r="G477" s="134" t="s">
        <v>127</v>
      </c>
      <c r="H477" s="137">
        <v>3</v>
      </c>
      <c r="I477" s="137">
        <v>0.3</v>
      </c>
      <c r="J477" s="134" t="s">
        <v>148</v>
      </c>
      <c r="K477" s="134" t="s">
        <v>129</v>
      </c>
      <c r="L477" s="134"/>
      <c r="M477" s="134">
        <v>0</v>
      </c>
      <c r="N477" s="134">
        <v>0</v>
      </c>
      <c r="O477" s="134">
        <v>2</v>
      </c>
      <c r="P477" s="134">
        <v>2</v>
      </c>
      <c r="Q477" s="140">
        <v>0</v>
      </c>
      <c r="R477" s="139">
        <v>5</v>
      </c>
      <c r="S477" s="134">
        <v>170</v>
      </c>
      <c r="T477" s="134">
        <v>3500</v>
      </c>
      <c r="U477" s="134">
        <v>25</v>
      </c>
      <c r="V477" s="140">
        <v>10</v>
      </c>
      <c r="W477" s="15"/>
    </row>
    <row r="478" spans="1:23" ht="17.100000000000001" customHeight="1" x14ac:dyDescent="0.3">
      <c r="A478" s="139">
        <v>10441</v>
      </c>
      <c r="B478" s="135" t="s">
        <v>88</v>
      </c>
      <c r="C478" s="134" t="s">
        <v>573</v>
      </c>
      <c r="D478" s="134">
        <v>3</v>
      </c>
      <c r="E478" s="134" t="b">
        <v>0</v>
      </c>
      <c r="F478" s="134">
        <v>170</v>
      </c>
      <c r="G478" s="134" t="s">
        <v>127</v>
      </c>
      <c r="H478" s="137">
        <v>3</v>
      </c>
      <c r="I478" s="137">
        <v>0.3</v>
      </c>
      <c r="J478" s="134" t="s">
        <v>148</v>
      </c>
      <c r="K478" s="134" t="s">
        <v>129</v>
      </c>
      <c r="L478" s="134"/>
      <c r="M478" s="134">
        <v>0</v>
      </c>
      <c r="N478" s="134">
        <v>0</v>
      </c>
      <c r="O478" s="134">
        <v>2</v>
      </c>
      <c r="P478" s="134">
        <v>2</v>
      </c>
      <c r="Q478" s="140">
        <v>0</v>
      </c>
      <c r="R478" s="139">
        <v>5</v>
      </c>
      <c r="S478" s="134">
        <v>170</v>
      </c>
      <c r="T478" s="134">
        <v>3500</v>
      </c>
      <c r="U478" s="134">
        <v>25</v>
      </c>
      <c r="V478" s="140">
        <v>10</v>
      </c>
      <c r="W478" s="15"/>
    </row>
    <row r="479" spans="1:23" ht="17.100000000000001" customHeight="1" x14ac:dyDescent="0.3">
      <c r="A479" s="139">
        <v>10442</v>
      </c>
      <c r="B479" s="135" t="s">
        <v>88</v>
      </c>
      <c r="C479" s="134" t="s">
        <v>574</v>
      </c>
      <c r="D479" s="134">
        <v>3</v>
      </c>
      <c r="E479" s="134" t="b">
        <v>0</v>
      </c>
      <c r="F479" s="134">
        <v>100</v>
      </c>
      <c r="G479" s="134" t="s">
        <v>127</v>
      </c>
      <c r="H479" s="137">
        <v>2</v>
      </c>
      <c r="I479" s="137">
        <v>0.5</v>
      </c>
      <c r="J479" s="134" t="s">
        <v>146</v>
      </c>
      <c r="K479" s="134" t="s">
        <v>137</v>
      </c>
      <c r="L479" s="134"/>
      <c r="M479" s="134">
        <v>0</v>
      </c>
      <c r="N479" s="134">
        <v>0</v>
      </c>
      <c r="O479" s="134">
        <v>0</v>
      </c>
      <c r="P479" s="134">
        <v>0</v>
      </c>
      <c r="Q479" s="140">
        <v>0</v>
      </c>
      <c r="R479" s="139">
        <v>5</v>
      </c>
      <c r="S479" s="134">
        <v>80</v>
      </c>
      <c r="T479" s="134">
        <v>1000</v>
      </c>
      <c r="U479" s="134">
        <v>10</v>
      </c>
      <c r="V479" s="140">
        <v>0</v>
      </c>
      <c r="W479" s="15"/>
    </row>
    <row r="480" spans="1:23" ht="17.100000000000001" customHeight="1" x14ac:dyDescent="0.3">
      <c r="A480" s="139">
        <v>10443</v>
      </c>
      <c r="B480" s="135" t="s">
        <v>88</v>
      </c>
      <c r="C480" s="134" t="s">
        <v>575</v>
      </c>
      <c r="D480" s="134">
        <v>3</v>
      </c>
      <c r="E480" s="134" t="b">
        <v>0</v>
      </c>
      <c r="F480" s="134">
        <v>150</v>
      </c>
      <c r="G480" s="134" t="s">
        <v>127</v>
      </c>
      <c r="H480" s="134" t="s">
        <v>112</v>
      </c>
      <c r="I480" s="137">
        <v>0.4</v>
      </c>
      <c r="J480" s="134" t="s">
        <v>134</v>
      </c>
      <c r="K480" s="134" t="s">
        <v>129</v>
      </c>
      <c r="L480" s="134"/>
      <c r="M480" s="134">
        <v>0</v>
      </c>
      <c r="N480" s="134">
        <v>0</v>
      </c>
      <c r="O480" s="134">
        <v>0</v>
      </c>
      <c r="P480" s="134">
        <v>1</v>
      </c>
      <c r="Q480" s="140">
        <v>0</v>
      </c>
      <c r="R480" s="139">
        <v>5</v>
      </c>
      <c r="S480" s="134">
        <v>170</v>
      </c>
      <c r="T480" s="134">
        <v>3500</v>
      </c>
      <c r="U480" s="134">
        <v>25</v>
      </c>
      <c r="V480" s="140">
        <v>10</v>
      </c>
      <c r="W480" s="15"/>
    </row>
    <row r="481" spans="1:23" ht="17.100000000000001" customHeight="1" x14ac:dyDescent="0.3">
      <c r="A481" s="139">
        <v>10444</v>
      </c>
      <c r="B481" s="135" t="s">
        <v>88</v>
      </c>
      <c r="C481" s="134" t="s">
        <v>576</v>
      </c>
      <c r="D481" s="134">
        <v>3</v>
      </c>
      <c r="E481" s="134" t="b">
        <v>0</v>
      </c>
      <c r="F481" s="134">
        <v>160</v>
      </c>
      <c r="G481" s="134" t="s">
        <v>127</v>
      </c>
      <c r="H481" s="134" t="s">
        <v>112</v>
      </c>
      <c r="I481" s="137">
        <v>0.4</v>
      </c>
      <c r="J481" s="134" t="s">
        <v>166</v>
      </c>
      <c r="K481" s="134" t="s">
        <v>129</v>
      </c>
      <c r="L481" s="134"/>
      <c r="M481" s="134">
        <v>0</v>
      </c>
      <c r="N481" s="134">
        <v>0</v>
      </c>
      <c r="O481" s="134">
        <v>1</v>
      </c>
      <c r="P481" s="134">
        <v>1</v>
      </c>
      <c r="Q481" s="140">
        <v>0</v>
      </c>
      <c r="R481" s="139">
        <v>5</v>
      </c>
      <c r="S481" s="134">
        <v>170</v>
      </c>
      <c r="T481" s="134">
        <v>3500</v>
      </c>
      <c r="U481" s="134">
        <v>25</v>
      </c>
      <c r="V481" s="140">
        <v>10</v>
      </c>
      <c r="W481" s="15"/>
    </row>
    <row r="482" spans="1:23" ht="17.100000000000001" customHeight="1" x14ac:dyDescent="0.3">
      <c r="A482" s="139">
        <v>10445</v>
      </c>
      <c r="B482" s="135" t="s">
        <v>88</v>
      </c>
      <c r="C482" s="134" t="s">
        <v>577</v>
      </c>
      <c r="D482" s="134">
        <v>3</v>
      </c>
      <c r="E482" s="134" t="b">
        <v>0</v>
      </c>
      <c r="F482" s="134">
        <v>180</v>
      </c>
      <c r="G482" s="134" t="s">
        <v>127</v>
      </c>
      <c r="H482" s="137">
        <v>3</v>
      </c>
      <c r="I482" s="137">
        <v>0.2</v>
      </c>
      <c r="J482" s="134" t="s">
        <v>189</v>
      </c>
      <c r="K482" s="134" t="s">
        <v>129</v>
      </c>
      <c r="L482" s="134"/>
      <c r="M482" s="134">
        <v>0</v>
      </c>
      <c r="N482" s="134">
        <v>0</v>
      </c>
      <c r="O482" s="134">
        <v>3</v>
      </c>
      <c r="P482" s="134">
        <v>3</v>
      </c>
      <c r="Q482" s="140">
        <v>0</v>
      </c>
      <c r="R482" s="139">
        <v>5</v>
      </c>
      <c r="S482" s="134">
        <v>230</v>
      </c>
      <c r="T482" s="134">
        <v>5500</v>
      </c>
      <c r="U482" s="134">
        <v>40</v>
      </c>
      <c r="V482" s="140">
        <v>20</v>
      </c>
      <c r="W482" s="15"/>
    </row>
    <row r="483" spans="1:23" ht="17.100000000000001" customHeight="1" x14ac:dyDescent="0.3">
      <c r="A483" s="139">
        <v>10446</v>
      </c>
      <c r="B483" s="135" t="s">
        <v>88</v>
      </c>
      <c r="C483" s="134" t="s">
        <v>578</v>
      </c>
      <c r="D483" s="134">
        <v>3</v>
      </c>
      <c r="E483" s="134" t="b">
        <v>0</v>
      </c>
      <c r="F483" s="134">
        <v>195</v>
      </c>
      <c r="G483" s="134" t="s">
        <v>127</v>
      </c>
      <c r="H483" s="137">
        <v>3</v>
      </c>
      <c r="I483" s="137">
        <v>0.2</v>
      </c>
      <c r="J483" s="134" t="s">
        <v>128</v>
      </c>
      <c r="K483" s="134" t="s">
        <v>129</v>
      </c>
      <c r="L483" s="134"/>
      <c r="M483" s="134">
        <v>0</v>
      </c>
      <c r="N483" s="134">
        <v>0</v>
      </c>
      <c r="O483" s="134">
        <v>5</v>
      </c>
      <c r="P483" s="134">
        <v>5</v>
      </c>
      <c r="Q483" s="140">
        <v>0</v>
      </c>
      <c r="R483" s="139">
        <v>5</v>
      </c>
      <c r="S483" s="134">
        <v>230</v>
      </c>
      <c r="T483" s="134">
        <v>5500</v>
      </c>
      <c r="U483" s="134">
        <v>40</v>
      </c>
      <c r="V483" s="140">
        <v>20</v>
      </c>
      <c r="W483" s="15"/>
    </row>
    <row r="484" spans="1:23" ht="17.100000000000001" customHeight="1" x14ac:dyDescent="0.3">
      <c r="A484" s="139">
        <v>10447</v>
      </c>
      <c r="B484" s="135" t="s">
        <v>88</v>
      </c>
      <c r="C484" s="134" t="s">
        <v>579</v>
      </c>
      <c r="D484" s="134">
        <v>3</v>
      </c>
      <c r="E484" s="134" t="b">
        <v>0</v>
      </c>
      <c r="F484" s="134">
        <v>155</v>
      </c>
      <c r="G484" s="134" t="s">
        <v>127</v>
      </c>
      <c r="H484" s="134" t="s">
        <v>112</v>
      </c>
      <c r="I484" s="137">
        <v>0.4</v>
      </c>
      <c r="J484" s="134" t="s">
        <v>264</v>
      </c>
      <c r="K484" s="134" t="s">
        <v>129</v>
      </c>
      <c r="L484" s="134"/>
      <c r="M484" s="134">
        <v>0</v>
      </c>
      <c r="N484" s="134">
        <v>0</v>
      </c>
      <c r="O484" s="134">
        <v>0</v>
      </c>
      <c r="P484" s="134">
        <v>1</v>
      </c>
      <c r="Q484" s="140">
        <v>0</v>
      </c>
      <c r="R484" s="139">
        <v>5</v>
      </c>
      <c r="S484" s="134">
        <v>170</v>
      </c>
      <c r="T484" s="134">
        <v>3500</v>
      </c>
      <c r="U484" s="134">
        <v>25</v>
      </c>
      <c r="V484" s="140">
        <v>10</v>
      </c>
      <c r="W484" s="15"/>
    </row>
    <row r="485" spans="1:23" ht="17.100000000000001" customHeight="1" x14ac:dyDescent="0.3">
      <c r="A485" s="139">
        <v>10448</v>
      </c>
      <c r="B485" s="135" t="s">
        <v>88</v>
      </c>
      <c r="C485" s="134" t="s">
        <v>580</v>
      </c>
      <c r="D485" s="134">
        <v>3</v>
      </c>
      <c r="E485" s="134" t="b">
        <v>0</v>
      </c>
      <c r="F485" s="134">
        <v>175</v>
      </c>
      <c r="G485" s="134" t="s">
        <v>127</v>
      </c>
      <c r="H485" s="137">
        <v>3</v>
      </c>
      <c r="I485" s="137">
        <v>0.3</v>
      </c>
      <c r="J485" s="134" t="s">
        <v>131</v>
      </c>
      <c r="K485" s="134" t="s">
        <v>129</v>
      </c>
      <c r="L485" s="134"/>
      <c r="M485" s="134">
        <v>0</v>
      </c>
      <c r="N485" s="134">
        <v>0</v>
      </c>
      <c r="O485" s="134">
        <v>2</v>
      </c>
      <c r="P485" s="134">
        <v>3</v>
      </c>
      <c r="Q485" s="140">
        <v>0</v>
      </c>
      <c r="R485" s="139">
        <v>5</v>
      </c>
      <c r="S485" s="134">
        <v>230</v>
      </c>
      <c r="T485" s="134">
        <v>5500</v>
      </c>
      <c r="U485" s="134">
        <v>40</v>
      </c>
      <c r="V485" s="140">
        <v>20</v>
      </c>
      <c r="W485" s="15"/>
    </row>
    <row r="486" spans="1:23" ht="17.100000000000001" customHeight="1" x14ac:dyDescent="0.3">
      <c r="A486" s="139">
        <v>10449</v>
      </c>
      <c r="B486" s="135" t="s">
        <v>88</v>
      </c>
      <c r="C486" s="134" t="s">
        <v>581</v>
      </c>
      <c r="D486" s="134">
        <v>3</v>
      </c>
      <c r="E486" s="134" t="b">
        <v>0</v>
      </c>
      <c r="F486" s="134">
        <v>150</v>
      </c>
      <c r="G486" s="134" t="s">
        <v>127</v>
      </c>
      <c r="H486" s="134" t="s">
        <v>112</v>
      </c>
      <c r="I486" s="137">
        <v>0.4</v>
      </c>
      <c r="J486" s="134" t="s">
        <v>207</v>
      </c>
      <c r="K486" s="134" t="s">
        <v>137</v>
      </c>
      <c r="L486" s="134"/>
      <c r="M486" s="134">
        <v>0</v>
      </c>
      <c r="N486" s="134">
        <v>0</v>
      </c>
      <c r="O486" s="134">
        <v>0</v>
      </c>
      <c r="P486" s="134">
        <v>1</v>
      </c>
      <c r="Q486" s="140">
        <v>0</v>
      </c>
      <c r="R486" s="139">
        <v>5</v>
      </c>
      <c r="S486" s="134">
        <v>120</v>
      </c>
      <c r="T486" s="134">
        <v>2000</v>
      </c>
      <c r="U486" s="134">
        <v>15</v>
      </c>
      <c r="V486" s="140">
        <v>5</v>
      </c>
      <c r="W486" s="15"/>
    </row>
    <row r="487" spans="1:23" ht="17.100000000000001" customHeight="1" x14ac:dyDescent="0.3">
      <c r="A487" s="139">
        <v>10450</v>
      </c>
      <c r="B487" s="135" t="s">
        <v>88</v>
      </c>
      <c r="C487" s="134" t="s">
        <v>582</v>
      </c>
      <c r="D487" s="134">
        <v>3</v>
      </c>
      <c r="E487" s="134" t="b">
        <v>0</v>
      </c>
      <c r="F487" s="134">
        <v>180</v>
      </c>
      <c r="G487" s="134" t="s">
        <v>127</v>
      </c>
      <c r="H487" s="137">
        <v>3</v>
      </c>
      <c r="I487" s="137">
        <v>0.2</v>
      </c>
      <c r="J487" s="134" t="s">
        <v>189</v>
      </c>
      <c r="K487" s="134" t="s">
        <v>129</v>
      </c>
      <c r="L487" s="134"/>
      <c r="M487" s="134">
        <v>0</v>
      </c>
      <c r="N487" s="134">
        <v>0</v>
      </c>
      <c r="O487" s="134">
        <v>3</v>
      </c>
      <c r="P487" s="134">
        <v>4</v>
      </c>
      <c r="Q487" s="140">
        <v>0</v>
      </c>
      <c r="R487" s="139">
        <v>5</v>
      </c>
      <c r="S487" s="134">
        <v>230</v>
      </c>
      <c r="T487" s="134">
        <v>5500</v>
      </c>
      <c r="U487" s="134">
        <v>40</v>
      </c>
      <c r="V487" s="140">
        <v>20</v>
      </c>
      <c r="W487" s="15"/>
    </row>
    <row r="488" spans="1:23" ht="17.100000000000001" customHeight="1" x14ac:dyDescent="0.3">
      <c r="A488" s="139">
        <v>10451</v>
      </c>
      <c r="B488" s="135" t="s">
        <v>88</v>
      </c>
      <c r="C488" s="134" t="s">
        <v>583</v>
      </c>
      <c r="D488" s="134">
        <v>3</v>
      </c>
      <c r="E488" s="134" t="b">
        <v>0</v>
      </c>
      <c r="F488" s="134">
        <v>190</v>
      </c>
      <c r="G488" s="134" t="s">
        <v>127</v>
      </c>
      <c r="H488" s="137">
        <v>3</v>
      </c>
      <c r="I488" s="137">
        <v>0.2</v>
      </c>
      <c r="J488" s="134" t="s">
        <v>243</v>
      </c>
      <c r="K488" s="134" t="s">
        <v>129</v>
      </c>
      <c r="L488" s="134"/>
      <c r="M488" s="134">
        <v>0</v>
      </c>
      <c r="N488" s="134">
        <v>0</v>
      </c>
      <c r="O488" s="134">
        <v>4</v>
      </c>
      <c r="P488" s="134">
        <v>4</v>
      </c>
      <c r="Q488" s="140">
        <v>0</v>
      </c>
      <c r="R488" s="139">
        <v>5</v>
      </c>
      <c r="S488" s="134">
        <v>230</v>
      </c>
      <c r="T488" s="134">
        <v>5500</v>
      </c>
      <c r="U488" s="134">
        <v>40</v>
      </c>
      <c r="V488" s="140">
        <v>20</v>
      </c>
      <c r="W488" s="15"/>
    </row>
    <row r="489" spans="1:23" ht="17.100000000000001" customHeight="1" x14ac:dyDescent="0.3">
      <c r="A489" s="139">
        <v>10452</v>
      </c>
      <c r="B489" s="135" t="s">
        <v>88</v>
      </c>
      <c r="C489" s="134" t="s">
        <v>584</v>
      </c>
      <c r="D489" s="134">
        <v>3</v>
      </c>
      <c r="E489" s="134" t="b">
        <v>0</v>
      </c>
      <c r="F489" s="134">
        <v>140</v>
      </c>
      <c r="G489" s="134" t="s">
        <v>127</v>
      </c>
      <c r="H489" s="134" t="s">
        <v>112</v>
      </c>
      <c r="I489" s="137">
        <v>0.4</v>
      </c>
      <c r="J489" s="134" t="s">
        <v>155</v>
      </c>
      <c r="K489" s="134" t="s">
        <v>137</v>
      </c>
      <c r="L489" s="134"/>
      <c r="M489" s="134">
        <v>0</v>
      </c>
      <c r="N489" s="134">
        <v>0</v>
      </c>
      <c r="O489" s="134">
        <v>0</v>
      </c>
      <c r="P489" s="134">
        <v>0</v>
      </c>
      <c r="Q489" s="140">
        <v>0</v>
      </c>
      <c r="R489" s="139">
        <v>5</v>
      </c>
      <c r="S489" s="134">
        <v>120</v>
      </c>
      <c r="T489" s="134">
        <v>2000</v>
      </c>
      <c r="U489" s="134">
        <v>15</v>
      </c>
      <c r="V489" s="140">
        <v>5</v>
      </c>
      <c r="W489" s="15"/>
    </row>
    <row r="490" spans="1:23" ht="17.100000000000001" customHeight="1" x14ac:dyDescent="0.3">
      <c r="A490" s="139">
        <v>10453</v>
      </c>
      <c r="B490" s="135" t="s">
        <v>88</v>
      </c>
      <c r="C490" s="134" t="s">
        <v>585</v>
      </c>
      <c r="D490" s="134">
        <v>3</v>
      </c>
      <c r="E490" s="134" t="b">
        <v>0</v>
      </c>
      <c r="F490" s="134">
        <v>160</v>
      </c>
      <c r="G490" s="134" t="s">
        <v>127</v>
      </c>
      <c r="H490" s="134" t="s">
        <v>112</v>
      </c>
      <c r="I490" s="137">
        <v>0.4</v>
      </c>
      <c r="J490" s="134" t="s">
        <v>166</v>
      </c>
      <c r="K490" s="134" t="s">
        <v>129</v>
      </c>
      <c r="L490" s="134"/>
      <c r="M490" s="134">
        <v>0</v>
      </c>
      <c r="N490" s="134">
        <v>0</v>
      </c>
      <c r="O490" s="134">
        <v>1</v>
      </c>
      <c r="P490" s="134">
        <v>1</v>
      </c>
      <c r="Q490" s="140">
        <v>0</v>
      </c>
      <c r="R490" s="139">
        <v>5</v>
      </c>
      <c r="S490" s="134">
        <v>170</v>
      </c>
      <c r="T490" s="134">
        <v>3500</v>
      </c>
      <c r="U490" s="134">
        <v>25</v>
      </c>
      <c r="V490" s="140">
        <v>10</v>
      </c>
      <c r="W490" s="15"/>
    </row>
    <row r="491" spans="1:23" ht="17.100000000000001" customHeight="1" x14ac:dyDescent="0.3">
      <c r="A491" s="139">
        <v>10454</v>
      </c>
      <c r="B491" s="135" t="s">
        <v>88</v>
      </c>
      <c r="C491" s="134" t="s">
        <v>586</v>
      </c>
      <c r="D491" s="134">
        <v>3</v>
      </c>
      <c r="E491" s="134" t="b">
        <v>0</v>
      </c>
      <c r="F491" s="134">
        <v>160</v>
      </c>
      <c r="G491" s="134" t="s">
        <v>127</v>
      </c>
      <c r="H491" s="134" t="s">
        <v>112</v>
      </c>
      <c r="I491" s="137">
        <v>0.3</v>
      </c>
      <c r="J491" s="134" t="s">
        <v>166</v>
      </c>
      <c r="K491" s="134" t="s">
        <v>129</v>
      </c>
      <c r="L491" s="134"/>
      <c r="M491" s="134">
        <v>0</v>
      </c>
      <c r="N491" s="134">
        <v>0</v>
      </c>
      <c r="O491" s="134">
        <v>1</v>
      </c>
      <c r="P491" s="134">
        <v>2</v>
      </c>
      <c r="Q491" s="140">
        <v>0</v>
      </c>
      <c r="R491" s="139">
        <v>5</v>
      </c>
      <c r="S491" s="134">
        <v>170</v>
      </c>
      <c r="T491" s="134">
        <v>3500</v>
      </c>
      <c r="U491" s="134">
        <v>25</v>
      </c>
      <c r="V491" s="140">
        <v>10</v>
      </c>
      <c r="W491" s="15"/>
    </row>
    <row r="492" spans="1:23" ht="17.100000000000001" customHeight="1" x14ac:dyDescent="0.3">
      <c r="A492" s="139">
        <v>10455</v>
      </c>
      <c r="B492" s="135" t="s">
        <v>88</v>
      </c>
      <c r="C492" s="134" t="s">
        <v>587</v>
      </c>
      <c r="D492" s="134">
        <v>3</v>
      </c>
      <c r="E492" s="134" t="b">
        <v>0</v>
      </c>
      <c r="F492" s="134">
        <v>170</v>
      </c>
      <c r="G492" s="134" t="s">
        <v>127</v>
      </c>
      <c r="H492" s="137">
        <v>3</v>
      </c>
      <c r="I492" s="137">
        <v>0.3</v>
      </c>
      <c r="J492" s="134" t="s">
        <v>148</v>
      </c>
      <c r="K492" s="134" t="s">
        <v>129</v>
      </c>
      <c r="L492" s="134"/>
      <c r="M492" s="134">
        <v>0</v>
      </c>
      <c r="N492" s="134">
        <v>0</v>
      </c>
      <c r="O492" s="134">
        <v>2</v>
      </c>
      <c r="P492" s="134">
        <v>2</v>
      </c>
      <c r="Q492" s="140">
        <v>0</v>
      </c>
      <c r="R492" s="139">
        <v>5</v>
      </c>
      <c r="S492" s="134">
        <v>170</v>
      </c>
      <c r="T492" s="134">
        <v>3500</v>
      </c>
      <c r="U492" s="134">
        <v>25</v>
      </c>
      <c r="V492" s="140">
        <v>10</v>
      </c>
      <c r="W492" s="15"/>
    </row>
    <row r="493" spans="1:23" ht="17.100000000000001" customHeight="1" x14ac:dyDescent="0.3">
      <c r="A493" s="139">
        <v>10456</v>
      </c>
      <c r="B493" s="135" t="s">
        <v>88</v>
      </c>
      <c r="C493" s="134" t="s">
        <v>588</v>
      </c>
      <c r="D493" s="134">
        <v>3</v>
      </c>
      <c r="E493" s="134" t="b">
        <v>0</v>
      </c>
      <c r="F493" s="134">
        <v>145</v>
      </c>
      <c r="G493" s="134" t="s">
        <v>127</v>
      </c>
      <c r="H493" s="134" t="s">
        <v>112</v>
      </c>
      <c r="I493" s="137">
        <v>0.4</v>
      </c>
      <c r="J493" s="134" t="s">
        <v>172</v>
      </c>
      <c r="K493" s="134" t="s">
        <v>137</v>
      </c>
      <c r="L493" s="134"/>
      <c r="M493" s="134">
        <v>0</v>
      </c>
      <c r="N493" s="134">
        <v>0</v>
      </c>
      <c r="O493" s="134">
        <v>0</v>
      </c>
      <c r="P493" s="134">
        <v>0</v>
      </c>
      <c r="Q493" s="140">
        <v>0</v>
      </c>
      <c r="R493" s="139">
        <v>5</v>
      </c>
      <c r="S493" s="134">
        <v>120</v>
      </c>
      <c r="T493" s="134">
        <v>2000</v>
      </c>
      <c r="U493" s="134">
        <v>15</v>
      </c>
      <c r="V493" s="140">
        <v>5</v>
      </c>
      <c r="W493" s="15"/>
    </row>
    <row r="494" spans="1:23" ht="17.100000000000001" customHeight="1" x14ac:dyDescent="0.3">
      <c r="A494" s="139">
        <v>10457</v>
      </c>
      <c r="B494" s="135" t="s">
        <v>88</v>
      </c>
      <c r="C494" s="134" t="s">
        <v>589</v>
      </c>
      <c r="D494" s="134">
        <v>3</v>
      </c>
      <c r="E494" s="134" t="b">
        <v>0</v>
      </c>
      <c r="F494" s="134">
        <v>75</v>
      </c>
      <c r="G494" s="134" t="s">
        <v>46</v>
      </c>
      <c r="H494" s="137">
        <v>2</v>
      </c>
      <c r="I494" s="137">
        <v>0.6</v>
      </c>
      <c r="J494" s="134" t="s">
        <v>213</v>
      </c>
      <c r="K494" s="134" t="s">
        <v>54</v>
      </c>
      <c r="L494" s="134"/>
      <c r="M494" s="134">
        <v>0</v>
      </c>
      <c r="N494" s="134">
        <v>0</v>
      </c>
      <c r="O494" s="134">
        <v>0</v>
      </c>
      <c r="P494" s="134">
        <v>0</v>
      </c>
      <c r="Q494" s="140">
        <v>0</v>
      </c>
      <c r="R494" s="139">
        <v>5</v>
      </c>
      <c r="S494" s="134">
        <v>80</v>
      </c>
      <c r="T494" s="134">
        <v>1000</v>
      </c>
      <c r="U494" s="134">
        <v>10</v>
      </c>
      <c r="V494" s="140">
        <v>0</v>
      </c>
      <c r="W494" s="15"/>
    </row>
    <row r="495" spans="1:23" ht="17.100000000000001" customHeight="1" x14ac:dyDescent="0.3">
      <c r="A495" s="139">
        <v>10458</v>
      </c>
      <c r="B495" s="135" t="s">
        <v>88</v>
      </c>
      <c r="C495" s="134" t="s">
        <v>590</v>
      </c>
      <c r="D495" s="134">
        <v>3</v>
      </c>
      <c r="E495" s="134" t="b">
        <v>0</v>
      </c>
      <c r="F495" s="134">
        <v>140</v>
      </c>
      <c r="G495" s="134" t="s">
        <v>127</v>
      </c>
      <c r="H495" s="134" t="s">
        <v>112</v>
      </c>
      <c r="I495" s="137">
        <v>0.4</v>
      </c>
      <c r="J495" s="134" t="s">
        <v>155</v>
      </c>
      <c r="K495" s="134" t="s">
        <v>137</v>
      </c>
      <c r="L495" s="134"/>
      <c r="M495" s="134">
        <v>0</v>
      </c>
      <c r="N495" s="134">
        <v>0</v>
      </c>
      <c r="O495" s="134">
        <v>0</v>
      </c>
      <c r="P495" s="134">
        <v>0</v>
      </c>
      <c r="Q495" s="140">
        <v>0</v>
      </c>
      <c r="R495" s="139">
        <v>5</v>
      </c>
      <c r="S495" s="134">
        <v>120</v>
      </c>
      <c r="T495" s="134">
        <v>2000</v>
      </c>
      <c r="U495" s="134">
        <v>15</v>
      </c>
      <c r="V495" s="140">
        <v>5</v>
      </c>
      <c r="W495" s="15"/>
    </row>
    <row r="496" spans="1:23" ht="17.100000000000001" customHeight="1" x14ac:dyDescent="0.3">
      <c r="A496" s="139">
        <v>10459</v>
      </c>
      <c r="B496" s="135" t="s">
        <v>88</v>
      </c>
      <c r="C496" s="134" t="s">
        <v>591</v>
      </c>
      <c r="D496" s="134">
        <v>3</v>
      </c>
      <c r="E496" s="134" t="b">
        <v>0</v>
      </c>
      <c r="F496" s="134">
        <v>180</v>
      </c>
      <c r="G496" s="134" t="s">
        <v>127</v>
      </c>
      <c r="H496" s="137">
        <v>3</v>
      </c>
      <c r="I496" s="137">
        <v>0.2</v>
      </c>
      <c r="J496" s="134" t="s">
        <v>189</v>
      </c>
      <c r="K496" s="134" t="s">
        <v>129</v>
      </c>
      <c r="L496" s="134"/>
      <c r="M496" s="134">
        <v>0</v>
      </c>
      <c r="N496" s="134">
        <v>0</v>
      </c>
      <c r="O496" s="134">
        <v>3</v>
      </c>
      <c r="P496" s="134">
        <v>4</v>
      </c>
      <c r="Q496" s="140">
        <v>0</v>
      </c>
      <c r="R496" s="139">
        <v>5</v>
      </c>
      <c r="S496" s="134">
        <v>230</v>
      </c>
      <c r="T496" s="134">
        <v>5500</v>
      </c>
      <c r="U496" s="134">
        <v>40</v>
      </c>
      <c r="V496" s="140">
        <v>20</v>
      </c>
      <c r="W496" s="15"/>
    </row>
    <row r="497" spans="1:23" ht="17.100000000000001" customHeight="1" x14ac:dyDescent="0.3">
      <c r="A497" s="139">
        <v>10460</v>
      </c>
      <c r="B497" s="135" t="s">
        <v>88</v>
      </c>
      <c r="C497" s="134" t="s">
        <v>592</v>
      </c>
      <c r="D497" s="134">
        <v>3</v>
      </c>
      <c r="E497" s="134" t="b">
        <v>0</v>
      </c>
      <c r="F497" s="134">
        <v>145</v>
      </c>
      <c r="G497" s="134" t="s">
        <v>127</v>
      </c>
      <c r="H497" s="134" t="s">
        <v>112</v>
      </c>
      <c r="I497" s="137">
        <v>0.4</v>
      </c>
      <c r="J497" s="134" t="s">
        <v>172</v>
      </c>
      <c r="K497" s="134" t="s">
        <v>137</v>
      </c>
      <c r="L497" s="134"/>
      <c r="M497" s="134">
        <v>0</v>
      </c>
      <c r="N497" s="134">
        <v>0</v>
      </c>
      <c r="O497" s="134">
        <v>0</v>
      </c>
      <c r="P497" s="134">
        <v>0</v>
      </c>
      <c r="Q497" s="140">
        <v>0</v>
      </c>
      <c r="R497" s="139">
        <v>5</v>
      </c>
      <c r="S497" s="134">
        <v>120</v>
      </c>
      <c r="T497" s="134">
        <v>2000</v>
      </c>
      <c r="U497" s="134">
        <v>15</v>
      </c>
      <c r="V497" s="140">
        <v>5</v>
      </c>
      <c r="W497" s="15"/>
    </row>
    <row r="498" spans="1:23" ht="17.100000000000001" customHeight="1" x14ac:dyDescent="0.3">
      <c r="A498" s="139">
        <v>10461</v>
      </c>
      <c r="B498" s="135" t="s">
        <v>88</v>
      </c>
      <c r="C498" s="134" t="s">
        <v>593</v>
      </c>
      <c r="D498" s="134">
        <v>3</v>
      </c>
      <c r="E498" s="134" t="b">
        <v>0</v>
      </c>
      <c r="F498" s="134">
        <v>180</v>
      </c>
      <c r="G498" s="134" t="s">
        <v>127</v>
      </c>
      <c r="H498" s="137">
        <v>3</v>
      </c>
      <c r="I498" s="137">
        <v>0.3</v>
      </c>
      <c r="J498" s="134" t="s">
        <v>189</v>
      </c>
      <c r="K498" s="134" t="s">
        <v>129</v>
      </c>
      <c r="L498" s="134"/>
      <c r="M498" s="134">
        <v>0</v>
      </c>
      <c r="N498" s="134">
        <v>0</v>
      </c>
      <c r="O498" s="134">
        <v>3</v>
      </c>
      <c r="P498" s="134">
        <v>3</v>
      </c>
      <c r="Q498" s="140">
        <v>0</v>
      </c>
      <c r="R498" s="139">
        <v>5</v>
      </c>
      <c r="S498" s="134">
        <v>230</v>
      </c>
      <c r="T498" s="134">
        <v>5500</v>
      </c>
      <c r="U498" s="134">
        <v>40</v>
      </c>
      <c r="V498" s="140">
        <v>20</v>
      </c>
      <c r="W498" s="15"/>
    </row>
    <row r="499" spans="1:23" ht="17.100000000000001" customHeight="1" x14ac:dyDescent="0.3">
      <c r="A499" s="139">
        <v>10462</v>
      </c>
      <c r="B499" s="135" t="s">
        <v>88</v>
      </c>
      <c r="C499" s="134" t="s">
        <v>594</v>
      </c>
      <c r="D499" s="134">
        <v>3</v>
      </c>
      <c r="E499" s="134" t="b">
        <v>0</v>
      </c>
      <c r="F499" s="134">
        <v>150</v>
      </c>
      <c r="G499" s="134" t="s">
        <v>127</v>
      </c>
      <c r="H499" s="134" t="s">
        <v>112</v>
      </c>
      <c r="I499" s="137">
        <v>0.4</v>
      </c>
      <c r="J499" s="134" t="s">
        <v>134</v>
      </c>
      <c r="K499" s="134" t="s">
        <v>129</v>
      </c>
      <c r="L499" s="134"/>
      <c r="M499" s="134">
        <v>0</v>
      </c>
      <c r="N499" s="134">
        <v>0</v>
      </c>
      <c r="O499" s="134">
        <v>0</v>
      </c>
      <c r="P499" s="134">
        <v>1</v>
      </c>
      <c r="Q499" s="140">
        <v>0</v>
      </c>
      <c r="R499" s="139">
        <v>5</v>
      </c>
      <c r="S499" s="134">
        <v>170</v>
      </c>
      <c r="T499" s="134">
        <v>3500</v>
      </c>
      <c r="U499" s="134">
        <v>25</v>
      </c>
      <c r="V499" s="140">
        <v>10</v>
      </c>
      <c r="W499" s="15"/>
    </row>
    <row r="500" spans="1:23" ht="17.100000000000001" customHeight="1" x14ac:dyDescent="0.3">
      <c r="A500" s="139">
        <v>10463</v>
      </c>
      <c r="B500" s="135" t="s">
        <v>88</v>
      </c>
      <c r="C500" s="134" t="s">
        <v>595</v>
      </c>
      <c r="D500" s="134">
        <v>3</v>
      </c>
      <c r="E500" s="134" t="b">
        <v>0</v>
      </c>
      <c r="F500" s="134">
        <v>165</v>
      </c>
      <c r="G500" s="134" t="s">
        <v>127</v>
      </c>
      <c r="H500" s="134" t="s">
        <v>112</v>
      </c>
      <c r="I500" s="137">
        <v>0.3</v>
      </c>
      <c r="J500" s="134" t="s">
        <v>252</v>
      </c>
      <c r="K500" s="134" t="s">
        <v>129</v>
      </c>
      <c r="L500" s="134"/>
      <c r="M500" s="134">
        <v>0</v>
      </c>
      <c r="N500" s="134">
        <v>0</v>
      </c>
      <c r="O500" s="134">
        <v>1</v>
      </c>
      <c r="P500" s="134">
        <v>2</v>
      </c>
      <c r="Q500" s="140">
        <v>0</v>
      </c>
      <c r="R500" s="139">
        <v>5</v>
      </c>
      <c r="S500" s="134">
        <v>170</v>
      </c>
      <c r="T500" s="134">
        <v>3500</v>
      </c>
      <c r="U500" s="134">
        <v>25</v>
      </c>
      <c r="V500" s="140">
        <v>10</v>
      </c>
      <c r="W500" s="15"/>
    </row>
    <row r="501" spans="1:23" ht="17.100000000000001" customHeight="1" x14ac:dyDescent="0.3">
      <c r="A501" s="139">
        <v>10464</v>
      </c>
      <c r="B501" s="135" t="s">
        <v>88</v>
      </c>
      <c r="C501" s="134" t="s">
        <v>596</v>
      </c>
      <c r="D501" s="134">
        <v>3</v>
      </c>
      <c r="E501" s="134" t="b">
        <v>0</v>
      </c>
      <c r="F501" s="134">
        <v>200</v>
      </c>
      <c r="G501" s="134" t="s">
        <v>127</v>
      </c>
      <c r="H501" s="137">
        <v>3</v>
      </c>
      <c r="I501" s="137">
        <v>0.2</v>
      </c>
      <c r="J501" s="134" t="s">
        <v>223</v>
      </c>
      <c r="K501" s="134" t="s">
        <v>129</v>
      </c>
      <c r="L501" s="134"/>
      <c r="M501" s="134">
        <v>0</v>
      </c>
      <c r="N501" s="134">
        <v>0</v>
      </c>
      <c r="O501" s="134">
        <v>5</v>
      </c>
      <c r="P501" s="134">
        <v>6</v>
      </c>
      <c r="Q501" s="140">
        <v>0</v>
      </c>
      <c r="R501" s="139">
        <v>5</v>
      </c>
      <c r="S501" s="134">
        <v>230</v>
      </c>
      <c r="T501" s="134">
        <v>5500</v>
      </c>
      <c r="U501" s="134">
        <v>40</v>
      </c>
      <c r="V501" s="140">
        <v>20</v>
      </c>
      <c r="W501" s="15"/>
    </row>
    <row r="502" spans="1:23" ht="17.100000000000001" customHeight="1" x14ac:dyDescent="0.3">
      <c r="A502" s="139">
        <v>10465</v>
      </c>
      <c r="B502" s="135" t="s">
        <v>88</v>
      </c>
      <c r="C502" s="134" t="s">
        <v>597</v>
      </c>
      <c r="D502" s="134">
        <v>3</v>
      </c>
      <c r="E502" s="134" t="b">
        <v>0</v>
      </c>
      <c r="F502" s="134">
        <v>180</v>
      </c>
      <c r="G502" s="134" t="s">
        <v>127</v>
      </c>
      <c r="H502" s="137">
        <v>3</v>
      </c>
      <c r="I502" s="137">
        <v>0.2</v>
      </c>
      <c r="J502" s="134" t="s">
        <v>189</v>
      </c>
      <c r="K502" s="134" t="s">
        <v>129</v>
      </c>
      <c r="L502" s="134"/>
      <c r="M502" s="134">
        <v>0</v>
      </c>
      <c r="N502" s="134">
        <v>0</v>
      </c>
      <c r="O502" s="134">
        <v>3</v>
      </c>
      <c r="P502" s="134">
        <v>3</v>
      </c>
      <c r="Q502" s="140">
        <v>0</v>
      </c>
      <c r="R502" s="139">
        <v>5</v>
      </c>
      <c r="S502" s="134">
        <v>230</v>
      </c>
      <c r="T502" s="134">
        <v>5500</v>
      </c>
      <c r="U502" s="134">
        <v>40</v>
      </c>
      <c r="V502" s="140">
        <v>20</v>
      </c>
      <c r="W502" s="15"/>
    </row>
    <row r="503" spans="1:23" ht="17.100000000000001" customHeight="1" x14ac:dyDescent="0.3">
      <c r="A503" s="139">
        <v>10466</v>
      </c>
      <c r="B503" s="135" t="s">
        <v>88</v>
      </c>
      <c r="C503" s="134" t="s">
        <v>598</v>
      </c>
      <c r="D503" s="134">
        <v>3</v>
      </c>
      <c r="E503" s="134" t="b">
        <v>0</v>
      </c>
      <c r="F503" s="134">
        <v>175</v>
      </c>
      <c r="G503" s="134" t="s">
        <v>127</v>
      </c>
      <c r="H503" s="137">
        <v>3</v>
      </c>
      <c r="I503" s="137">
        <v>0.3</v>
      </c>
      <c r="J503" s="134" t="s">
        <v>131</v>
      </c>
      <c r="K503" s="134" t="s">
        <v>129</v>
      </c>
      <c r="L503" s="134"/>
      <c r="M503" s="134">
        <v>0</v>
      </c>
      <c r="N503" s="134">
        <v>0</v>
      </c>
      <c r="O503" s="134">
        <v>2</v>
      </c>
      <c r="P503" s="134">
        <v>3</v>
      </c>
      <c r="Q503" s="140">
        <v>0</v>
      </c>
      <c r="R503" s="139">
        <v>5</v>
      </c>
      <c r="S503" s="134">
        <v>230</v>
      </c>
      <c r="T503" s="134">
        <v>5500</v>
      </c>
      <c r="U503" s="134">
        <v>40</v>
      </c>
      <c r="V503" s="140">
        <v>20</v>
      </c>
      <c r="W503" s="15"/>
    </row>
    <row r="504" spans="1:23" ht="17.100000000000001" customHeight="1" x14ac:dyDescent="0.3">
      <c r="A504" s="139">
        <v>10467</v>
      </c>
      <c r="B504" s="135" t="s">
        <v>88</v>
      </c>
      <c r="C504" s="134" t="s">
        <v>599</v>
      </c>
      <c r="D504" s="134">
        <v>3</v>
      </c>
      <c r="E504" s="134" t="b">
        <v>0</v>
      </c>
      <c r="F504" s="134">
        <v>150</v>
      </c>
      <c r="G504" s="134" t="s">
        <v>127</v>
      </c>
      <c r="H504" s="134" t="s">
        <v>112</v>
      </c>
      <c r="I504" s="137">
        <v>0.4</v>
      </c>
      <c r="J504" s="134" t="s">
        <v>134</v>
      </c>
      <c r="K504" s="134" t="s">
        <v>129</v>
      </c>
      <c r="L504" s="134"/>
      <c r="M504" s="134">
        <v>0</v>
      </c>
      <c r="N504" s="134">
        <v>0</v>
      </c>
      <c r="O504" s="134">
        <v>0</v>
      </c>
      <c r="P504" s="134">
        <v>1</v>
      </c>
      <c r="Q504" s="140">
        <v>0</v>
      </c>
      <c r="R504" s="139">
        <v>5</v>
      </c>
      <c r="S504" s="134">
        <v>170</v>
      </c>
      <c r="T504" s="134">
        <v>3500</v>
      </c>
      <c r="U504" s="134">
        <v>25</v>
      </c>
      <c r="V504" s="140">
        <v>10</v>
      </c>
      <c r="W504" s="15"/>
    </row>
    <row r="505" spans="1:23" ht="17.100000000000001" customHeight="1" x14ac:dyDescent="0.3">
      <c r="A505" s="139">
        <v>10468</v>
      </c>
      <c r="B505" s="135" t="s">
        <v>88</v>
      </c>
      <c r="C505" s="134" t="s">
        <v>600</v>
      </c>
      <c r="D505" s="134">
        <v>3</v>
      </c>
      <c r="E505" s="134" t="b">
        <v>0</v>
      </c>
      <c r="F505" s="134">
        <v>160</v>
      </c>
      <c r="G505" s="134" t="s">
        <v>127</v>
      </c>
      <c r="H505" s="134" t="s">
        <v>112</v>
      </c>
      <c r="I505" s="137">
        <v>0.3</v>
      </c>
      <c r="J505" s="134" t="s">
        <v>166</v>
      </c>
      <c r="K505" s="134" t="s">
        <v>129</v>
      </c>
      <c r="L505" s="134"/>
      <c r="M505" s="134">
        <v>0</v>
      </c>
      <c r="N505" s="134">
        <v>0</v>
      </c>
      <c r="O505" s="134">
        <v>1</v>
      </c>
      <c r="P505" s="134">
        <v>1</v>
      </c>
      <c r="Q505" s="140">
        <v>0</v>
      </c>
      <c r="R505" s="139">
        <v>5</v>
      </c>
      <c r="S505" s="134">
        <v>170</v>
      </c>
      <c r="T505" s="134">
        <v>3500</v>
      </c>
      <c r="U505" s="134">
        <v>25</v>
      </c>
      <c r="V505" s="140">
        <v>10</v>
      </c>
      <c r="W505" s="15"/>
    </row>
    <row r="506" spans="1:23" ht="17.100000000000001" customHeight="1" x14ac:dyDescent="0.3">
      <c r="A506" s="139">
        <v>10469</v>
      </c>
      <c r="B506" s="135" t="s">
        <v>88</v>
      </c>
      <c r="C506" s="134" t="s">
        <v>601</v>
      </c>
      <c r="D506" s="134">
        <v>3</v>
      </c>
      <c r="E506" s="134" t="b">
        <v>0</v>
      </c>
      <c r="F506" s="134">
        <v>195</v>
      </c>
      <c r="G506" s="134" t="s">
        <v>127</v>
      </c>
      <c r="H506" s="137">
        <v>3</v>
      </c>
      <c r="I506" s="137">
        <v>0.2</v>
      </c>
      <c r="J506" s="134" t="s">
        <v>128</v>
      </c>
      <c r="K506" s="134" t="s">
        <v>129</v>
      </c>
      <c r="L506" s="134"/>
      <c r="M506" s="134">
        <v>0</v>
      </c>
      <c r="N506" s="134">
        <v>0</v>
      </c>
      <c r="O506" s="134">
        <v>5</v>
      </c>
      <c r="P506" s="134">
        <v>5</v>
      </c>
      <c r="Q506" s="140">
        <v>0</v>
      </c>
      <c r="R506" s="139">
        <v>5</v>
      </c>
      <c r="S506" s="134">
        <v>230</v>
      </c>
      <c r="T506" s="134">
        <v>5500</v>
      </c>
      <c r="U506" s="134">
        <v>40</v>
      </c>
      <c r="V506" s="140">
        <v>20</v>
      </c>
      <c r="W506" s="15"/>
    </row>
    <row r="507" spans="1:23" ht="17.100000000000001" customHeight="1" x14ac:dyDescent="0.3">
      <c r="A507" s="139">
        <v>10470</v>
      </c>
      <c r="B507" s="135" t="s">
        <v>88</v>
      </c>
      <c r="C507" s="134" t="s">
        <v>602</v>
      </c>
      <c r="D507" s="134">
        <v>3</v>
      </c>
      <c r="E507" s="134" t="b">
        <v>0</v>
      </c>
      <c r="F507" s="134">
        <v>150</v>
      </c>
      <c r="G507" s="134" t="s">
        <v>127</v>
      </c>
      <c r="H507" s="134" t="s">
        <v>112</v>
      </c>
      <c r="I507" s="137">
        <v>0.4</v>
      </c>
      <c r="J507" s="134" t="s">
        <v>207</v>
      </c>
      <c r="K507" s="134" t="s">
        <v>137</v>
      </c>
      <c r="L507" s="134"/>
      <c r="M507" s="134">
        <v>0</v>
      </c>
      <c r="N507" s="134">
        <v>0</v>
      </c>
      <c r="O507" s="134">
        <v>0</v>
      </c>
      <c r="P507" s="134">
        <v>1</v>
      </c>
      <c r="Q507" s="140">
        <v>0</v>
      </c>
      <c r="R507" s="139">
        <v>5</v>
      </c>
      <c r="S507" s="134">
        <v>120</v>
      </c>
      <c r="T507" s="134">
        <v>2000</v>
      </c>
      <c r="U507" s="134">
        <v>15</v>
      </c>
      <c r="V507" s="140">
        <v>5</v>
      </c>
      <c r="W507" s="15"/>
    </row>
    <row r="508" spans="1:23" ht="17.100000000000001" customHeight="1" x14ac:dyDescent="0.3">
      <c r="A508" s="139">
        <v>10471</v>
      </c>
      <c r="B508" s="135" t="s">
        <v>88</v>
      </c>
      <c r="C508" s="134" t="s">
        <v>603</v>
      </c>
      <c r="D508" s="134">
        <v>3</v>
      </c>
      <c r="E508" s="134" t="b">
        <v>0</v>
      </c>
      <c r="F508" s="134">
        <v>165</v>
      </c>
      <c r="G508" s="134" t="s">
        <v>127</v>
      </c>
      <c r="H508" s="134" t="s">
        <v>112</v>
      </c>
      <c r="I508" s="137">
        <v>0.3</v>
      </c>
      <c r="J508" s="134" t="s">
        <v>252</v>
      </c>
      <c r="K508" s="134" t="s">
        <v>129</v>
      </c>
      <c r="L508" s="134"/>
      <c r="M508" s="134">
        <v>0</v>
      </c>
      <c r="N508" s="134">
        <v>0</v>
      </c>
      <c r="O508" s="134">
        <v>1</v>
      </c>
      <c r="P508" s="134">
        <v>2</v>
      </c>
      <c r="Q508" s="140">
        <v>0</v>
      </c>
      <c r="R508" s="139">
        <v>5</v>
      </c>
      <c r="S508" s="134">
        <v>170</v>
      </c>
      <c r="T508" s="134">
        <v>3500</v>
      </c>
      <c r="U508" s="134">
        <v>25</v>
      </c>
      <c r="V508" s="140">
        <v>10</v>
      </c>
      <c r="W508" s="15"/>
    </row>
    <row r="509" spans="1:23" ht="17.100000000000001" customHeight="1" x14ac:dyDescent="0.3">
      <c r="A509" s="139">
        <v>10472</v>
      </c>
      <c r="B509" s="135" t="s">
        <v>88</v>
      </c>
      <c r="C509" s="134" t="s">
        <v>604</v>
      </c>
      <c r="D509" s="134">
        <v>3</v>
      </c>
      <c r="E509" s="134" t="b">
        <v>0</v>
      </c>
      <c r="F509" s="134">
        <v>140</v>
      </c>
      <c r="G509" s="134" t="s">
        <v>127</v>
      </c>
      <c r="H509" s="134" t="s">
        <v>112</v>
      </c>
      <c r="I509" s="137">
        <v>0.4</v>
      </c>
      <c r="J509" s="134" t="s">
        <v>155</v>
      </c>
      <c r="K509" s="134" t="s">
        <v>137</v>
      </c>
      <c r="L509" s="134"/>
      <c r="M509" s="134">
        <v>0</v>
      </c>
      <c r="N509" s="134">
        <v>0</v>
      </c>
      <c r="O509" s="134">
        <v>0</v>
      </c>
      <c r="P509" s="134">
        <v>0</v>
      </c>
      <c r="Q509" s="140">
        <v>0</v>
      </c>
      <c r="R509" s="139">
        <v>5</v>
      </c>
      <c r="S509" s="134">
        <v>120</v>
      </c>
      <c r="T509" s="134">
        <v>2000</v>
      </c>
      <c r="U509" s="134">
        <v>15</v>
      </c>
      <c r="V509" s="140">
        <v>5</v>
      </c>
      <c r="W509" s="15"/>
    </row>
    <row r="510" spans="1:23" ht="17.100000000000001" customHeight="1" x14ac:dyDescent="0.3">
      <c r="A510" s="139">
        <v>10473</v>
      </c>
      <c r="B510" s="135" t="s">
        <v>88</v>
      </c>
      <c r="C510" s="134" t="s">
        <v>605</v>
      </c>
      <c r="D510" s="134">
        <v>3</v>
      </c>
      <c r="E510" s="134" t="b">
        <v>0</v>
      </c>
      <c r="F510" s="134">
        <v>125</v>
      </c>
      <c r="G510" s="134" t="s">
        <v>127</v>
      </c>
      <c r="H510" s="137">
        <v>2</v>
      </c>
      <c r="I510" s="137">
        <v>0.5</v>
      </c>
      <c r="J510" s="134" t="s">
        <v>150</v>
      </c>
      <c r="K510" s="134" t="s">
        <v>137</v>
      </c>
      <c r="L510" s="134"/>
      <c r="M510" s="134">
        <v>0</v>
      </c>
      <c r="N510" s="134">
        <v>0</v>
      </c>
      <c r="O510" s="134">
        <v>0</v>
      </c>
      <c r="P510" s="134">
        <v>0</v>
      </c>
      <c r="Q510" s="140">
        <v>0</v>
      </c>
      <c r="R510" s="139">
        <v>5</v>
      </c>
      <c r="S510" s="134">
        <v>120</v>
      </c>
      <c r="T510" s="134">
        <v>2000</v>
      </c>
      <c r="U510" s="134">
        <v>15</v>
      </c>
      <c r="V510" s="140">
        <v>5</v>
      </c>
      <c r="W510" s="15"/>
    </row>
    <row r="511" spans="1:23" ht="17.100000000000001" customHeight="1" x14ac:dyDescent="0.3">
      <c r="A511" s="139">
        <v>10474</v>
      </c>
      <c r="B511" s="135" t="s">
        <v>88</v>
      </c>
      <c r="C511" s="134" t="s">
        <v>606</v>
      </c>
      <c r="D511" s="134">
        <v>3</v>
      </c>
      <c r="E511" s="134" t="b">
        <v>0</v>
      </c>
      <c r="F511" s="134">
        <v>200</v>
      </c>
      <c r="G511" s="134" t="s">
        <v>127</v>
      </c>
      <c r="H511" s="137">
        <v>3</v>
      </c>
      <c r="I511" s="137">
        <v>0.2</v>
      </c>
      <c r="J511" s="134" t="s">
        <v>223</v>
      </c>
      <c r="K511" s="134" t="s">
        <v>129</v>
      </c>
      <c r="L511" s="134"/>
      <c r="M511" s="134">
        <v>0</v>
      </c>
      <c r="N511" s="134">
        <v>0</v>
      </c>
      <c r="O511" s="134">
        <v>5</v>
      </c>
      <c r="P511" s="134">
        <v>6</v>
      </c>
      <c r="Q511" s="140">
        <v>0</v>
      </c>
      <c r="R511" s="139">
        <v>5</v>
      </c>
      <c r="S511" s="134">
        <v>230</v>
      </c>
      <c r="T511" s="134">
        <v>5500</v>
      </c>
      <c r="U511" s="134">
        <v>40</v>
      </c>
      <c r="V511" s="140">
        <v>20</v>
      </c>
      <c r="W511" s="15"/>
    </row>
    <row r="512" spans="1:23" ht="17.100000000000001" customHeight="1" x14ac:dyDescent="0.3">
      <c r="A512" s="139">
        <v>10475</v>
      </c>
      <c r="B512" s="135" t="s">
        <v>88</v>
      </c>
      <c r="C512" s="134" t="s">
        <v>607</v>
      </c>
      <c r="D512" s="134">
        <v>3</v>
      </c>
      <c r="E512" s="134" t="b">
        <v>0</v>
      </c>
      <c r="F512" s="134">
        <v>155</v>
      </c>
      <c r="G512" s="134" t="s">
        <v>127</v>
      </c>
      <c r="H512" s="134" t="s">
        <v>112</v>
      </c>
      <c r="I512" s="137">
        <v>0.4</v>
      </c>
      <c r="J512" s="134" t="s">
        <v>264</v>
      </c>
      <c r="K512" s="134" t="s">
        <v>129</v>
      </c>
      <c r="L512" s="134"/>
      <c r="M512" s="134">
        <v>0</v>
      </c>
      <c r="N512" s="134">
        <v>0</v>
      </c>
      <c r="O512" s="134">
        <v>0</v>
      </c>
      <c r="P512" s="134">
        <v>1</v>
      </c>
      <c r="Q512" s="140">
        <v>0</v>
      </c>
      <c r="R512" s="139">
        <v>5</v>
      </c>
      <c r="S512" s="134">
        <v>170</v>
      </c>
      <c r="T512" s="134">
        <v>3500</v>
      </c>
      <c r="U512" s="134">
        <v>25</v>
      </c>
      <c r="V512" s="140">
        <v>10</v>
      </c>
      <c r="W512" s="15"/>
    </row>
    <row r="513" spans="1:23" ht="17.100000000000001" customHeight="1" x14ac:dyDescent="0.3">
      <c r="A513" s="139">
        <v>10476</v>
      </c>
      <c r="B513" s="135" t="s">
        <v>88</v>
      </c>
      <c r="C513" s="134" t="s">
        <v>608</v>
      </c>
      <c r="D513" s="134">
        <v>3</v>
      </c>
      <c r="E513" s="134" t="b">
        <v>0</v>
      </c>
      <c r="F513" s="134">
        <v>175</v>
      </c>
      <c r="G513" s="134" t="s">
        <v>127</v>
      </c>
      <c r="H513" s="137">
        <v>3</v>
      </c>
      <c r="I513" s="137">
        <v>0.3</v>
      </c>
      <c r="J513" s="134" t="s">
        <v>131</v>
      </c>
      <c r="K513" s="134" t="s">
        <v>129</v>
      </c>
      <c r="L513" s="134"/>
      <c r="M513" s="134">
        <v>0</v>
      </c>
      <c r="N513" s="134">
        <v>0</v>
      </c>
      <c r="O513" s="134">
        <v>2</v>
      </c>
      <c r="P513" s="134">
        <v>3</v>
      </c>
      <c r="Q513" s="140">
        <v>0</v>
      </c>
      <c r="R513" s="139">
        <v>5</v>
      </c>
      <c r="S513" s="134">
        <v>170</v>
      </c>
      <c r="T513" s="134">
        <v>3500</v>
      </c>
      <c r="U513" s="134">
        <v>25</v>
      </c>
      <c r="V513" s="140">
        <v>10</v>
      </c>
      <c r="W513" s="15"/>
    </row>
    <row r="514" spans="1:23" ht="17.100000000000001" customHeight="1" x14ac:dyDescent="0.3">
      <c r="A514" s="139">
        <v>10477</v>
      </c>
      <c r="B514" s="135" t="s">
        <v>88</v>
      </c>
      <c r="C514" s="134" t="s">
        <v>609</v>
      </c>
      <c r="D514" s="134">
        <v>3</v>
      </c>
      <c r="E514" s="134" t="b">
        <v>0</v>
      </c>
      <c r="F514" s="134">
        <v>160</v>
      </c>
      <c r="G514" s="134" t="s">
        <v>127</v>
      </c>
      <c r="H514" s="134" t="s">
        <v>112</v>
      </c>
      <c r="I514" s="137">
        <v>0.4</v>
      </c>
      <c r="J514" s="134" t="s">
        <v>166</v>
      </c>
      <c r="K514" s="134" t="s">
        <v>129</v>
      </c>
      <c r="L514" s="134"/>
      <c r="M514" s="134">
        <v>0</v>
      </c>
      <c r="N514" s="134">
        <v>0</v>
      </c>
      <c r="O514" s="134">
        <v>1</v>
      </c>
      <c r="P514" s="134">
        <v>1</v>
      </c>
      <c r="Q514" s="140">
        <v>0</v>
      </c>
      <c r="R514" s="139">
        <v>5</v>
      </c>
      <c r="S514" s="134">
        <v>170</v>
      </c>
      <c r="T514" s="134">
        <v>3500</v>
      </c>
      <c r="U514" s="134">
        <v>25</v>
      </c>
      <c r="V514" s="140">
        <v>10</v>
      </c>
      <c r="W514" s="15"/>
    </row>
    <row r="515" spans="1:23" ht="17.100000000000001" customHeight="1" x14ac:dyDescent="0.3">
      <c r="A515" s="139">
        <v>10478</v>
      </c>
      <c r="B515" s="135" t="s">
        <v>88</v>
      </c>
      <c r="C515" s="134" t="s">
        <v>610</v>
      </c>
      <c r="D515" s="134">
        <v>3</v>
      </c>
      <c r="E515" s="134" t="b">
        <v>0</v>
      </c>
      <c r="F515" s="134">
        <v>170</v>
      </c>
      <c r="G515" s="134" t="s">
        <v>127</v>
      </c>
      <c r="H515" s="137">
        <v>3</v>
      </c>
      <c r="I515" s="137">
        <v>0.3</v>
      </c>
      <c r="J515" s="134" t="s">
        <v>148</v>
      </c>
      <c r="K515" s="134" t="s">
        <v>129</v>
      </c>
      <c r="L515" s="134"/>
      <c r="M515" s="134">
        <v>0</v>
      </c>
      <c r="N515" s="134">
        <v>0</v>
      </c>
      <c r="O515" s="134">
        <v>2</v>
      </c>
      <c r="P515" s="134">
        <v>2</v>
      </c>
      <c r="Q515" s="140">
        <v>0</v>
      </c>
      <c r="R515" s="139">
        <v>5</v>
      </c>
      <c r="S515" s="134">
        <v>170</v>
      </c>
      <c r="T515" s="134">
        <v>3500</v>
      </c>
      <c r="U515" s="134">
        <v>25</v>
      </c>
      <c r="V515" s="140">
        <v>10</v>
      </c>
      <c r="W515" s="15"/>
    </row>
    <row r="516" spans="1:23" ht="17.100000000000001" customHeight="1" x14ac:dyDescent="0.3">
      <c r="A516" s="139">
        <v>10479</v>
      </c>
      <c r="B516" s="135" t="s">
        <v>88</v>
      </c>
      <c r="C516" s="134" t="s">
        <v>611</v>
      </c>
      <c r="D516" s="134">
        <v>3</v>
      </c>
      <c r="E516" s="134" t="b">
        <v>0</v>
      </c>
      <c r="F516" s="134">
        <v>160</v>
      </c>
      <c r="G516" s="134" t="s">
        <v>127</v>
      </c>
      <c r="H516" s="134" t="s">
        <v>112</v>
      </c>
      <c r="I516" s="137">
        <v>0.4</v>
      </c>
      <c r="J516" s="134" t="s">
        <v>166</v>
      </c>
      <c r="K516" s="134" t="s">
        <v>129</v>
      </c>
      <c r="L516" s="134"/>
      <c r="M516" s="134">
        <v>0</v>
      </c>
      <c r="N516" s="134">
        <v>0</v>
      </c>
      <c r="O516" s="134">
        <v>1</v>
      </c>
      <c r="P516" s="134">
        <v>1</v>
      </c>
      <c r="Q516" s="140">
        <v>0</v>
      </c>
      <c r="R516" s="139">
        <v>5</v>
      </c>
      <c r="S516" s="134">
        <v>170</v>
      </c>
      <c r="T516" s="134">
        <v>3500</v>
      </c>
      <c r="U516" s="134">
        <v>25</v>
      </c>
      <c r="V516" s="140">
        <v>10</v>
      </c>
      <c r="W516" s="15"/>
    </row>
    <row r="517" spans="1:23" ht="17.100000000000001" customHeight="1" x14ac:dyDescent="0.3">
      <c r="A517" s="139">
        <v>10480</v>
      </c>
      <c r="B517" s="135" t="s">
        <v>88</v>
      </c>
      <c r="C517" s="134" t="s">
        <v>612</v>
      </c>
      <c r="D517" s="134">
        <v>3</v>
      </c>
      <c r="E517" s="134" t="b">
        <v>0</v>
      </c>
      <c r="F517" s="134">
        <v>180</v>
      </c>
      <c r="G517" s="134" t="s">
        <v>127</v>
      </c>
      <c r="H517" s="137">
        <v>3</v>
      </c>
      <c r="I517" s="137">
        <v>0.2</v>
      </c>
      <c r="J517" s="134" t="s">
        <v>189</v>
      </c>
      <c r="K517" s="134" t="s">
        <v>129</v>
      </c>
      <c r="L517" s="134"/>
      <c r="M517" s="134">
        <v>0</v>
      </c>
      <c r="N517" s="134">
        <v>0</v>
      </c>
      <c r="O517" s="134">
        <v>3</v>
      </c>
      <c r="P517" s="134">
        <v>3</v>
      </c>
      <c r="Q517" s="140">
        <v>0</v>
      </c>
      <c r="R517" s="139">
        <v>5</v>
      </c>
      <c r="S517" s="134">
        <v>230</v>
      </c>
      <c r="T517" s="134">
        <v>5500</v>
      </c>
      <c r="U517" s="134">
        <v>40</v>
      </c>
      <c r="V517" s="140">
        <v>20</v>
      </c>
      <c r="W517" s="15"/>
    </row>
    <row r="518" spans="1:23" ht="17.100000000000001" customHeight="1" x14ac:dyDescent="0.3">
      <c r="A518" s="139">
        <v>10481</v>
      </c>
      <c r="B518" s="135" t="s">
        <v>88</v>
      </c>
      <c r="C518" s="134" t="s">
        <v>613</v>
      </c>
      <c r="D518" s="134">
        <v>3</v>
      </c>
      <c r="E518" s="134" t="b">
        <v>0</v>
      </c>
      <c r="F518" s="134">
        <v>170</v>
      </c>
      <c r="G518" s="134" t="s">
        <v>127</v>
      </c>
      <c r="H518" s="137">
        <v>3</v>
      </c>
      <c r="I518" s="137">
        <v>0.3</v>
      </c>
      <c r="J518" s="134" t="s">
        <v>148</v>
      </c>
      <c r="K518" s="134" t="s">
        <v>129</v>
      </c>
      <c r="L518" s="134"/>
      <c r="M518" s="134">
        <v>0</v>
      </c>
      <c r="N518" s="134">
        <v>0</v>
      </c>
      <c r="O518" s="134">
        <v>2</v>
      </c>
      <c r="P518" s="134">
        <v>2</v>
      </c>
      <c r="Q518" s="140">
        <v>0</v>
      </c>
      <c r="R518" s="139">
        <v>5</v>
      </c>
      <c r="S518" s="134">
        <v>170</v>
      </c>
      <c r="T518" s="134">
        <v>3500</v>
      </c>
      <c r="U518" s="134">
        <v>25</v>
      </c>
      <c r="V518" s="140">
        <v>10</v>
      </c>
      <c r="W518" s="15"/>
    </row>
    <row r="519" spans="1:23" ht="17.100000000000001" customHeight="1" x14ac:dyDescent="0.3">
      <c r="A519" s="139">
        <v>10482</v>
      </c>
      <c r="B519" s="135" t="s">
        <v>88</v>
      </c>
      <c r="C519" s="134" t="s">
        <v>614</v>
      </c>
      <c r="D519" s="134">
        <v>3</v>
      </c>
      <c r="E519" s="134" t="b">
        <v>0</v>
      </c>
      <c r="F519" s="134">
        <v>105</v>
      </c>
      <c r="G519" s="134" t="s">
        <v>127</v>
      </c>
      <c r="H519" s="137">
        <v>2</v>
      </c>
      <c r="I519" s="137">
        <v>0.5</v>
      </c>
      <c r="J519" s="134" t="s">
        <v>176</v>
      </c>
      <c r="K519" s="134" t="s">
        <v>137</v>
      </c>
      <c r="L519" s="134"/>
      <c r="M519" s="134">
        <v>0</v>
      </c>
      <c r="N519" s="134">
        <v>0</v>
      </c>
      <c r="O519" s="134">
        <v>0</v>
      </c>
      <c r="P519" s="134">
        <v>0</v>
      </c>
      <c r="Q519" s="140">
        <v>0</v>
      </c>
      <c r="R519" s="139">
        <v>5</v>
      </c>
      <c r="S519" s="134">
        <v>80</v>
      </c>
      <c r="T519" s="134">
        <v>1000</v>
      </c>
      <c r="U519" s="134">
        <v>10</v>
      </c>
      <c r="V519" s="140">
        <v>0</v>
      </c>
      <c r="W519" s="15"/>
    </row>
    <row r="520" spans="1:23" ht="17.100000000000001" customHeight="1" x14ac:dyDescent="0.3">
      <c r="A520" s="139">
        <v>10483</v>
      </c>
      <c r="B520" s="135" t="s">
        <v>88</v>
      </c>
      <c r="C520" s="134" t="s">
        <v>615</v>
      </c>
      <c r="D520" s="134">
        <v>3</v>
      </c>
      <c r="E520" s="134" t="b">
        <v>0</v>
      </c>
      <c r="F520" s="134">
        <v>115</v>
      </c>
      <c r="G520" s="134" t="s">
        <v>127</v>
      </c>
      <c r="H520" s="137">
        <v>2</v>
      </c>
      <c r="I520" s="137">
        <v>0.5</v>
      </c>
      <c r="J520" s="134" t="s">
        <v>187</v>
      </c>
      <c r="K520" s="134" t="s">
        <v>137</v>
      </c>
      <c r="L520" s="134"/>
      <c r="M520" s="134">
        <v>0</v>
      </c>
      <c r="N520" s="134">
        <v>0</v>
      </c>
      <c r="O520" s="134">
        <v>0</v>
      </c>
      <c r="P520" s="134">
        <v>0</v>
      </c>
      <c r="Q520" s="140">
        <v>0</v>
      </c>
      <c r="R520" s="139">
        <v>5</v>
      </c>
      <c r="S520" s="134">
        <v>80</v>
      </c>
      <c r="T520" s="134">
        <v>1000</v>
      </c>
      <c r="U520" s="134">
        <v>10</v>
      </c>
      <c r="V520" s="140">
        <v>0</v>
      </c>
      <c r="W520" s="15"/>
    </row>
    <row r="521" spans="1:23" ht="17.100000000000001" customHeight="1" x14ac:dyDescent="0.3">
      <c r="A521" s="139">
        <v>10484</v>
      </c>
      <c r="B521" s="135" t="s">
        <v>88</v>
      </c>
      <c r="C521" s="134" t="s">
        <v>616</v>
      </c>
      <c r="D521" s="134">
        <v>3</v>
      </c>
      <c r="E521" s="134" t="b">
        <v>0</v>
      </c>
      <c r="F521" s="134">
        <v>135</v>
      </c>
      <c r="G521" s="134" t="s">
        <v>127</v>
      </c>
      <c r="H521" s="134" t="s">
        <v>112</v>
      </c>
      <c r="I521" s="137">
        <v>0.4</v>
      </c>
      <c r="J521" s="134" t="s">
        <v>136</v>
      </c>
      <c r="K521" s="134" t="s">
        <v>137</v>
      </c>
      <c r="L521" s="134"/>
      <c r="M521" s="134">
        <v>0</v>
      </c>
      <c r="N521" s="134">
        <v>0</v>
      </c>
      <c r="O521" s="134">
        <v>0</v>
      </c>
      <c r="P521" s="134">
        <v>0</v>
      </c>
      <c r="Q521" s="140">
        <v>0</v>
      </c>
      <c r="R521" s="139">
        <v>5</v>
      </c>
      <c r="S521" s="134">
        <v>120</v>
      </c>
      <c r="T521" s="134">
        <v>2000</v>
      </c>
      <c r="U521" s="134">
        <v>15</v>
      </c>
      <c r="V521" s="140">
        <v>5</v>
      </c>
      <c r="W521" s="15"/>
    </row>
    <row r="522" spans="1:23" ht="17.100000000000001" customHeight="1" x14ac:dyDescent="0.3">
      <c r="A522" s="139">
        <v>10485</v>
      </c>
      <c r="B522" s="135" t="s">
        <v>88</v>
      </c>
      <c r="C522" s="134" t="s">
        <v>617</v>
      </c>
      <c r="D522" s="134">
        <v>3</v>
      </c>
      <c r="E522" s="134" t="b">
        <v>0</v>
      </c>
      <c r="F522" s="134">
        <v>125</v>
      </c>
      <c r="G522" s="134" t="s">
        <v>127</v>
      </c>
      <c r="H522" s="137">
        <v>2</v>
      </c>
      <c r="I522" s="137">
        <v>0.5</v>
      </c>
      <c r="J522" s="134" t="s">
        <v>150</v>
      </c>
      <c r="K522" s="134" t="s">
        <v>137</v>
      </c>
      <c r="L522" s="134"/>
      <c r="M522" s="134">
        <v>0</v>
      </c>
      <c r="N522" s="134">
        <v>0</v>
      </c>
      <c r="O522" s="134">
        <v>0</v>
      </c>
      <c r="P522" s="134">
        <v>0</v>
      </c>
      <c r="Q522" s="140">
        <v>0</v>
      </c>
      <c r="R522" s="139">
        <v>5</v>
      </c>
      <c r="S522" s="134">
        <v>120</v>
      </c>
      <c r="T522" s="134">
        <v>2000</v>
      </c>
      <c r="U522" s="134">
        <v>15</v>
      </c>
      <c r="V522" s="140">
        <v>5</v>
      </c>
      <c r="W522" s="15"/>
    </row>
    <row r="523" spans="1:23" ht="17.100000000000001" customHeight="1" x14ac:dyDescent="0.3">
      <c r="A523" s="139">
        <v>10486</v>
      </c>
      <c r="B523" s="135" t="s">
        <v>88</v>
      </c>
      <c r="C523" s="134" t="s">
        <v>618</v>
      </c>
      <c r="D523" s="134">
        <v>3</v>
      </c>
      <c r="E523" s="134" t="b">
        <v>0</v>
      </c>
      <c r="F523" s="134">
        <v>175</v>
      </c>
      <c r="G523" s="134" t="s">
        <v>127</v>
      </c>
      <c r="H523" s="137">
        <v>3</v>
      </c>
      <c r="I523" s="137">
        <v>0.3</v>
      </c>
      <c r="J523" s="134" t="s">
        <v>131</v>
      </c>
      <c r="K523" s="134" t="s">
        <v>129</v>
      </c>
      <c r="L523" s="134"/>
      <c r="M523" s="134">
        <v>0</v>
      </c>
      <c r="N523" s="134">
        <v>0</v>
      </c>
      <c r="O523" s="134">
        <v>2</v>
      </c>
      <c r="P523" s="134">
        <v>3</v>
      </c>
      <c r="Q523" s="140">
        <v>0</v>
      </c>
      <c r="R523" s="139">
        <v>5</v>
      </c>
      <c r="S523" s="134">
        <v>230</v>
      </c>
      <c r="T523" s="134">
        <v>5500</v>
      </c>
      <c r="U523" s="134">
        <v>40</v>
      </c>
      <c r="V523" s="140">
        <v>20</v>
      </c>
      <c r="W523" s="15"/>
    </row>
    <row r="524" spans="1:23" ht="17.100000000000001" customHeight="1" x14ac:dyDescent="0.3">
      <c r="A524" s="139">
        <v>10487</v>
      </c>
      <c r="B524" s="135" t="s">
        <v>88</v>
      </c>
      <c r="C524" s="134" t="s">
        <v>619</v>
      </c>
      <c r="D524" s="134">
        <v>3</v>
      </c>
      <c r="E524" s="134" t="b">
        <v>0</v>
      </c>
      <c r="F524" s="134">
        <v>185</v>
      </c>
      <c r="G524" s="134" t="s">
        <v>127</v>
      </c>
      <c r="H524" s="137">
        <v>3</v>
      </c>
      <c r="I524" s="137">
        <v>0.2</v>
      </c>
      <c r="J524" s="134" t="s">
        <v>142</v>
      </c>
      <c r="K524" s="134" t="s">
        <v>129</v>
      </c>
      <c r="L524" s="134"/>
      <c r="M524" s="134">
        <v>0</v>
      </c>
      <c r="N524" s="134">
        <v>0</v>
      </c>
      <c r="O524" s="134">
        <v>3</v>
      </c>
      <c r="P524" s="134">
        <v>4</v>
      </c>
      <c r="Q524" s="140">
        <v>0</v>
      </c>
      <c r="R524" s="139">
        <v>5</v>
      </c>
      <c r="S524" s="134">
        <v>230</v>
      </c>
      <c r="T524" s="134">
        <v>5500</v>
      </c>
      <c r="U524" s="134">
        <v>40</v>
      </c>
      <c r="V524" s="140">
        <v>20</v>
      </c>
      <c r="W524" s="15"/>
    </row>
    <row r="525" spans="1:23" ht="17.100000000000001" customHeight="1" x14ac:dyDescent="0.3">
      <c r="A525" s="139">
        <v>10488</v>
      </c>
      <c r="B525" s="135" t="s">
        <v>88</v>
      </c>
      <c r="C525" s="134" t="s">
        <v>620</v>
      </c>
      <c r="D525" s="134">
        <v>3</v>
      </c>
      <c r="E525" s="134" t="b">
        <v>0</v>
      </c>
      <c r="F525" s="134">
        <v>145</v>
      </c>
      <c r="G525" s="134" t="s">
        <v>127</v>
      </c>
      <c r="H525" s="134" t="s">
        <v>112</v>
      </c>
      <c r="I525" s="137">
        <v>0.4</v>
      </c>
      <c r="J525" s="134" t="s">
        <v>172</v>
      </c>
      <c r="K525" s="134" t="s">
        <v>137</v>
      </c>
      <c r="L525" s="134"/>
      <c r="M525" s="134">
        <v>0</v>
      </c>
      <c r="N525" s="134">
        <v>0</v>
      </c>
      <c r="O525" s="134">
        <v>0</v>
      </c>
      <c r="P525" s="134">
        <v>0</v>
      </c>
      <c r="Q525" s="140">
        <v>0</v>
      </c>
      <c r="R525" s="139">
        <v>5</v>
      </c>
      <c r="S525" s="134">
        <v>120</v>
      </c>
      <c r="T525" s="134">
        <v>2000</v>
      </c>
      <c r="U525" s="134">
        <v>15</v>
      </c>
      <c r="V525" s="140">
        <v>5</v>
      </c>
      <c r="W525" s="15"/>
    </row>
    <row r="526" spans="1:23" ht="17.100000000000001" customHeight="1" x14ac:dyDescent="0.3">
      <c r="A526" s="139">
        <v>10489</v>
      </c>
      <c r="B526" s="135" t="s">
        <v>88</v>
      </c>
      <c r="C526" s="134" t="s">
        <v>621</v>
      </c>
      <c r="D526" s="134">
        <v>3</v>
      </c>
      <c r="E526" s="134" t="b">
        <v>0</v>
      </c>
      <c r="F526" s="134">
        <v>105</v>
      </c>
      <c r="G526" s="134" t="s">
        <v>127</v>
      </c>
      <c r="H526" s="137">
        <v>2</v>
      </c>
      <c r="I526" s="137">
        <v>0.5</v>
      </c>
      <c r="J526" s="134" t="s">
        <v>176</v>
      </c>
      <c r="K526" s="134" t="s">
        <v>137</v>
      </c>
      <c r="L526" s="134"/>
      <c r="M526" s="134">
        <v>0</v>
      </c>
      <c r="N526" s="134">
        <v>0</v>
      </c>
      <c r="O526" s="134">
        <v>0</v>
      </c>
      <c r="P526" s="134">
        <v>0</v>
      </c>
      <c r="Q526" s="140">
        <v>0</v>
      </c>
      <c r="R526" s="139">
        <v>5</v>
      </c>
      <c r="S526" s="134">
        <v>80</v>
      </c>
      <c r="T526" s="134">
        <v>1000</v>
      </c>
      <c r="U526" s="134">
        <v>10</v>
      </c>
      <c r="V526" s="140">
        <v>0</v>
      </c>
      <c r="W526" s="15"/>
    </row>
    <row r="527" spans="1:23" ht="17.100000000000001" customHeight="1" x14ac:dyDescent="0.3">
      <c r="A527" s="139">
        <v>10490</v>
      </c>
      <c r="B527" s="135" t="s">
        <v>88</v>
      </c>
      <c r="C527" s="134" t="s">
        <v>622</v>
      </c>
      <c r="D527" s="134">
        <v>3</v>
      </c>
      <c r="E527" s="134" t="b">
        <v>0</v>
      </c>
      <c r="F527" s="134">
        <v>180</v>
      </c>
      <c r="G527" s="134" t="s">
        <v>127</v>
      </c>
      <c r="H527" s="137">
        <v>3</v>
      </c>
      <c r="I527" s="137">
        <v>0.3</v>
      </c>
      <c r="J527" s="134" t="s">
        <v>189</v>
      </c>
      <c r="K527" s="134" t="s">
        <v>129</v>
      </c>
      <c r="L527" s="134"/>
      <c r="M527" s="134">
        <v>0</v>
      </c>
      <c r="N527" s="134">
        <v>0</v>
      </c>
      <c r="O527" s="134">
        <v>3</v>
      </c>
      <c r="P527" s="134">
        <v>3</v>
      </c>
      <c r="Q527" s="140">
        <v>0</v>
      </c>
      <c r="R527" s="139">
        <v>5</v>
      </c>
      <c r="S527" s="134">
        <v>230</v>
      </c>
      <c r="T527" s="134">
        <v>5500</v>
      </c>
      <c r="U527" s="134">
        <v>40</v>
      </c>
      <c r="V527" s="140">
        <v>20</v>
      </c>
      <c r="W527" s="15"/>
    </row>
    <row r="528" spans="1:23" ht="17.100000000000001" customHeight="1" x14ac:dyDescent="0.3">
      <c r="A528" s="139">
        <v>10491</v>
      </c>
      <c r="B528" s="135" t="s">
        <v>88</v>
      </c>
      <c r="C528" s="134" t="s">
        <v>623</v>
      </c>
      <c r="D528" s="134">
        <v>3</v>
      </c>
      <c r="E528" s="134" t="b">
        <v>0</v>
      </c>
      <c r="F528" s="134">
        <v>185</v>
      </c>
      <c r="G528" s="134" t="s">
        <v>127</v>
      </c>
      <c r="H528" s="137">
        <v>3</v>
      </c>
      <c r="I528" s="137">
        <v>0.2</v>
      </c>
      <c r="J528" s="134" t="s">
        <v>142</v>
      </c>
      <c r="K528" s="134" t="s">
        <v>129</v>
      </c>
      <c r="L528" s="134"/>
      <c r="M528" s="134">
        <v>0</v>
      </c>
      <c r="N528" s="134">
        <v>0</v>
      </c>
      <c r="O528" s="134">
        <v>3</v>
      </c>
      <c r="P528" s="134">
        <v>4</v>
      </c>
      <c r="Q528" s="140">
        <v>0</v>
      </c>
      <c r="R528" s="139">
        <v>5</v>
      </c>
      <c r="S528" s="134">
        <v>230</v>
      </c>
      <c r="T528" s="134">
        <v>5500</v>
      </c>
      <c r="U528" s="134">
        <v>40</v>
      </c>
      <c r="V528" s="140">
        <v>20</v>
      </c>
      <c r="W528" s="15"/>
    </row>
    <row r="529" spans="1:23" ht="17.100000000000001" customHeight="1" x14ac:dyDescent="0.3">
      <c r="A529" s="139">
        <v>10492</v>
      </c>
      <c r="B529" s="135" t="s">
        <v>88</v>
      </c>
      <c r="C529" s="134" t="s">
        <v>624</v>
      </c>
      <c r="D529" s="134">
        <v>3</v>
      </c>
      <c r="E529" s="134" t="b">
        <v>0</v>
      </c>
      <c r="F529" s="134">
        <v>145</v>
      </c>
      <c r="G529" s="134" t="s">
        <v>127</v>
      </c>
      <c r="H529" s="134" t="s">
        <v>112</v>
      </c>
      <c r="I529" s="137">
        <v>0.4</v>
      </c>
      <c r="J529" s="134" t="s">
        <v>172</v>
      </c>
      <c r="K529" s="134" t="s">
        <v>137</v>
      </c>
      <c r="L529" s="134"/>
      <c r="M529" s="134">
        <v>0</v>
      </c>
      <c r="N529" s="134">
        <v>0</v>
      </c>
      <c r="O529" s="134">
        <v>0</v>
      </c>
      <c r="P529" s="134">
        <v>0</v>
      </c>
      <c r="Q529" s="140">
        <v>0</v>
      </c>
      <c r="R529" s="139">
        <v>5</v>
      </c>
      <c r="S529" s="134">
        <v>120</v>
      </c>
      <c r="T529" s="134">
        <v>2000</v>
      </c>
      <c r="U529" s="134">
        <v>15</v>
      </c>
      <c r="V529" s="140">
        <v>5</v>
      </c>
      <c r="W529" s="15"/>
    </row>
    <row r="530" spans="1:23" ht="17.100000000000001" customHeight="1" x14ac:dyDescent="0.3">
      <c r="A530" s="139">
        <v>10493</v>
      </c>
      <c r="B530" s="135" t="s">
        <v>88</v>
      </c>
      <c r="C530" s="134" t="s">
        <v>625</v>
      </c>
      <c r="D530" s="134">
        <v>3</v>
      </c>
      <c r="E530" s="134" t="b">
        <v>0</v>
      </c>
      <c r="F530" s="134">
        <v>145</v>
      </c>
      <c r="G530" s="134" t="s">
        <v>127</v>
      </c>
      <c r="H530" s="134" t="s">
        <v>112</v>
      </c>
      <c r="I530" s="137">
        <v>0.4</v>
      </c>
      <c r="J530" s="134" t="s">
        <v>172</v>
      </c>
      <c r="K530" s="134" t="s">
        <v>137</v>
      </c>
      <c r="L530" s="134"/>
      <c r="M530" s="134">
        <v>0</v>
      </c>
      <c r="N530" s="134">
        <v>0</v>
      </c>
      <c r="O530" s="134">
        <v>0</v>
      </c>
      <c r="P530" s="134">
        <v>1</v>
      </c>
      <c r="Q530" s="140">
        <v>0</v>
      </c>
      <c r="R530" s="139">
        <v>5</v>
      </c>
      <c r="S530" s="134">
        <v>120</v>
      </c>
      <c r="T530" s="134">
        <v>2000</v>
      </c>
      <c r="U530" s="134">
        <v>15</v>
      </c>
      <c r="V530" s="140">
        <v>5</v>
      </c>
      <c r="W530" s="15"/>
    </row>
    <row r="531" spans="1:23" ht="17.100000000000001" customHeight="1" x14ac:dyDescent="0.3">
      <c r="A531" s="139">
        <v>10494</v>
      </c>
      <c r="B531" s="135" t="s">
        <v>88</v>
      </c>
      <c r="C531" s="134" t="s">
        <v>626</v>
      </c>
      <c r="D531" s="134">
        <v>3</v>
      </c>
      <c r="E531" s="134" t="b">
        <v>0</v>
      </c>
      <c r="F531" s="134">
        <v>200</v>
      </c>
      <c r="G531" s="134" t="s">
        <v>127</v>
      </c>
      <c r="H531" s="137">
        <v>3</v>
      </c>
      <c r="I531" s="137">
        <v>0.2</v>
      </c>
      <c r="J531" s="134" t="s">
        <v>223</v>
      </c>
      <c r="K531" s="134" t="s">
        <v>129</v>
      </c>
      <c r="L531" s="134"/>
      <c r="M531" s="134">
        <v>0</v>
      </c>
      <c r="N531" s="134">
        <v>0</v>
      </c>
      <c r="O531" s="134">
        <v>5</v>
      </c>
      <c r="P531" s="134">
        <v>6</v>
      </c>
      <c r="Q531" s="140">
        <v>0</v>
      </c>
      <c r="R531" s="139">
        <v>5</v>
      </c>
      <c r="S531" s="134">
        <v>230</v>
      </c>
      <c r="T531" s="134">
        <v>5500</v>
      </c>
      <c r="U531" s="134">
        <v>40</v>
      </c>
      <c r="V531" s="140">
        <v>20</v>
      </c>
      <c r="W531" s="15"/>
    </row>
    <row r="532" spans="1:23" ht="17.100000000000001" customHeight="1" x14ac:dyDescent="0.3">
      <c r="A532" s="139">
        <v>10495</v>
      </c>
      <c r="B532" s="135" t="s">
        <v>88</v>
      </c>
      <c r="C532" s="134" t="s">
        <v>627</v>
      </c>
      <c r="D532" s="134">
        <v>3</v>
      </c>
      <c r="E532" s="134" t="b">
        <v>0</v>
      </c>
      <c r="F532" s="134">
        <v>180</v>
      </c>
      <c r="G532" s="134" t="s">
        <v>127</v>
      </c>
      <c r="H532" s="137">
        <v>3</v>
      </c>
      <c r="I532" s="137">
        <v>0.3</v>
      </c>
      <c r="J532" s="134" t="s">
        <v>189</v>
      </c>
      <c r="K532" s="134" t="s">
        <v>129</v>
      </c>
      <c r="L532" s="134"/>
      <c r="M532" s="134">
        <v>0</v>
      </c>
      <c r="N532" s="134">
        <v>0</v>
      </c>
      <c r="O532" s="134">
        <v>2</v>
      </c>
      <c r="P532" s="134">
        <v>3</v>
      </c>
      <c r="Q532" s="140">
        <v>0</v>
      </c>
      <c r="R532" s="139">
        <v>5</v>
      </c>
      <c r="S532" s="134">
        <v>230</v>
      </c>
      <c r="T532" s="134">
        <v>5500</v>
      </c>
      <c r="U532" s="134">
        <v>40</v>
      </c>
      <c r="V532" s="140">
        <v>20</v>
      </c>
      <c r="W532" s="15"/>
    </row>
    <row r="533" spans="1:23" ht="17.100000000000001" customHeight="1" x14ac:dyDescent="0.3">
      <c r="A533" s="139">
        <v>10496</v>
      </c>
      <c r="B533" s="135" t="s">
        <v>88</v>
      </c>
      <c r="C533" s="134" t="s">
        <v>628</v>
      </c>
      <c r="D533" s="134">
        <v>3</v>
      </c>
      <c r="E533" s="134" t="b">
        <v>0</v>
      </c>
      <c r="F533" s="134">
        <v>95</v>
      </c>
      <c r="G533" s="134" t="s">
        <v>46</v>
      </c>
      <c r="H533" s="137">
        <v>2</v>
      </c>
      <c r="I533" s="137">
        <v>0.6</v>
      </c>
      <c r="J533" s="134" t="s">
        <v>157</v>
      </c>
      <c r="K533" s="134" t="s">
        <v>102</v>
      </c>
      <c r="L533" s="134"/>
      <c r="M533" s="134">
        <v>0</v>
      </c>
      <c r="N533" s="134">
        <v>0</v>
      </c>
      <c r="O533" s="134">
        <v>0</v>
      </c>
      <c r="P533" s="134">
        <v>0</v>
      </c>
      <c r="Q533" s="140">
        <v>0</v>
      </c>
      <c r="R533" s="139">
        <v>5</v>
      </c>
      <c r="S533" s="134">
        <v>80</v>
      </c>
      <c r="T533" s="134">
        <v>1000</v>
      </c>
      <c r="U533" s="134">
        <v>10</v>
      </c>
      <c r="V533" s="140">
        <v>0</v>
      </c>
      <c r="W533" s="15"/>
    </row>
    <row r="534" spans="1:23" ht="17.100000000000001" customHeight="1" x14ac:dyDescent="0.3">
      <c r="A534" s="139">
        <v>10497</v>
      </c>
      <c r="B534" s="135" t="s">
        <v>88</v>
      </c>
      <c r="C534" s="134" t="s">
        <v>629</v>
      </c>
      <c r="D534" s="134">
        <v>3</v>
      </c>
      <c r="E534" s="134" t="b">
        <v>0</v>
      </c>
      <c r="F534" s="134">
        <v>145</v>
      </c>
      <c r="G534" s="134" t="s">
        <v>127</v>
      </c>
      <c r="H534" s="134" t="s">
        <v>112</v>
      </c>
      <c r="I534" s="137">
        <v>0.4</v>
      </c>
      <c r="J534" s="134" t="s">
        <v>172</v>
      </c>
      <c r="K534" s="134" t="s">
        <v>137</v>
      </c>
      <c r="L534" s="134"/>
      <c r="M534" s="134">
        <v>0</v>
      </c>
      <c r="N534" s="134">
        <v>0</v>
      </c>
      <c r="O534" s="134">
        <v>0</v>
      </c>
      <c r="P534" s="134">
        <v>0</v>
      </c>
      <c r="Q534" s="140">
        <v>0</v>
      </c>
      <c r="R534" s="139">
        <v>5</v>
      </c>
      <c r="S534" s="134">
        <v>120</v>
      </c>
      <c r="T534" s="134">
        <v>2000</v>
      </c>
      <c r="U534" s="134">
        <v>15</v>
      </c>
      <c r="V534" s="140">
        <v>5</v>
      </c>
      <c r="W534" s="15"/>
    </row>
    <row r="535" spans="1:23" ht="17.100000000000001" customHeight="1" x14ac:dyDescent="0.3">
      <c r="A535" s="139">
        <v>10498</v>
      </c>
      <c r="B535" s="135" t="s">
        <v>88</v>
      </c>
      <c r="C535" s="134" t="s">
        <v>630</v>
      </c>
      <c r="D535" s="134">
        <v>3</v>
      </c>
      <c r="E535" s="134" t="b">
        <v>0</v>
      </c>
      <c r="F535" s="134">
        <v>135</v>
      </c>
      <c r="G535" s="134" t="s">
        <v>127</v>
      </c>
      <c r="H535" s="134" t="s">
        <v>112</v>
      </c>
      <c r="I535" s="137">
        <v>0.4</v>
      </c>
      <c r="J535" s="134" t="s">
        <v>136</v>
      </c>
      <c r="K535" s="134" t="s">
        <v>137</v>
      </c>
      <c r="L535" s="134"/>
      <c r="M535" s="134">
        <v>0</v>
      </c>
      <c r="N535" s="134">
        <v>0</v>
      </c>
      <c r="O535" s="134">
        <v>0</v>
      </c>
      <c r="P535" s="134">
        <v>0</v>
      </c>
      <c r="Q535" s="140">
        <v>0</v>
      </c>
      <c r="R535" s="139">
        <v>5</v>
      </c>
      <c r="S535" s="134">
        <v>120</v>
      </c>
      <c r="T535" s="134">
        <v>2000</v>
      </c>
      <c r="U535" s="134">
        <v>15</v>
      </c>
      <c r="V535" s="140">
        <v>5</v>
      </c>
      <c r="W535" s="15"/>
    </row>
    <row r="536" spans="1:23" ht="17.100000000000001" customHeight="1" x14ac:dyDescent="0.3">
      <c r="A536" s="139">
        <v>10499</v>
      </c>
      <c r="B536" s="135" t="s">
        <v>88</v>
      </c>
      <c r="C536" s="134" t="s">
        <v>631</v>
      </c>
      <c r="D536" s="134">
        <v>3</v>
      </c>
      <c r="E536" s="134" t="b">
        <v>0</v>
      </c>
      <c r="F536" s="134">
        <v>80</v>
      </c>
      <c r="G536" s="134" t="s">
        <v>46</v>
      </c>
      <c r="H536" s="137">
        <v>2</v>
      </c>
      <c r="I536" s="137">
        <v>0.6</v>
      </c>
      <c r="J536" s="134" t="s">
        <v>115</v>
      </c>
      <c r="K536" s="134" t="s">
        <v>54</v>
      </c>
      <c r="L536" s="134"/>
      <c r="M536" s="134">
        <v>0</v>
      </c>
      <c r="N536" s="134">
        <v>0</v>
      </c>
      <c r="O536" s="134">
        <v>0</v>
      </c>
      <c r="P536" s="134">
        <v>0</v>
      </c>
      <c r="Q536" s="140">
        <v>0</v>
      </c>
      <c r="R536" s="139">
        <v>5</v>
      </c>
      <c r="S536" s="134">
        <v>80</v>
      </c>
      <c r="T536" s="134">
        <v>1000</v>
      </c>
      <c r="U536" s="134">
        <v>10</v>
      </c>
      <c r="V536" s="140">
        <v>0</v>
      </c>
      <c r="W536" s="15"/>
    </row>
    <row r="537" spans="1:23" ht="17.100000000000001" customHeight="1" x14ac:dyDescent="0.3">
      <c r="A537" s="139">
        <v>10500</v>
      </c>
      <c r="B537" s="135" t="s">
        <v>88</v>
      </c>
      <c r="C537" s="134" t="s">
        <v>632</v>
      </c>
      <c r="D537" s="134">
        <v>3</v>
      </c>
      <c r="E537" s="134" t="b">
        <v>0</v>
      </c>
      <c r="F537" s="134">
        <v>175</v>
      </c>
      <c r="G537" s="134" t="s">
        <v>127</v>
      </c>
      <c r="H537" s="137">
        <v>3</v>
      </c>
      <c r="I537" s="137">
        <v>0.3</v>
      </c>
      <c r="J537" s="134" t="s">
        <v>131</v>
      </c>
      <c r="K537" s="134" t="s">
        <v>129</v>
      </c>
      <c r="L537" s="134"/>
      <c r="M537" s="134">
        <v>0</v>
      </c>
      <c r="N537" s="134">
        <v>0</v>
      </c>
      <c r="O537" s="134">
        <v>2</v>
      </c>
      <c r="P537" s="134">
        <v>3</v>
      </c>
      <c r="Q537" s="140">
        <v>0</v>
      </c>
      <c r="R537" s="139">
        <v>5</v>
      </c>
      <c r="S537" s="134">
        <v>170</v>
      </c>
      <c r="T537" s="134">
        <v>3500</v>
      </c>
      <c r="U537" s="134">
        <v>25</v>
      </c>
      <c r="V537" s="140">
        <v>10</v>
      </c>
      <c r="W537" s="15"/>
    </row>
    <row r="538" spans="1:23" ht="17.100000000000001" customHeight="1" thickBot="1" x14ac:dyDescent="0.35">
      <c r="A538" s="141">
        <v>10501</v>
      </c>
      <c r="B538" s="145" t="s">
        <v>88</v>
      </c>
      <c r="C538" s="142" t="s">
        <v>633</v>
      </c>
      <c r="D538" s="142">
        <v>3</v>
      </c>
      <c r="E538" s="142" t="b">
        <v>0</v>
      </c>
      <c r="F538" s="142">
        <v>160</v>
      </c>
      <c r="G538" s="142" t="s">
        <v>127</v>
      </c>
      <c r="H538" s="142" t="s">
        <v>112</v>
      </c>
      <c r="I538" s="146">
        <v>0.3</v>
      </c>
      <c r="J538" s="142" t="s">
        <v>166</v>
      </c>
      <c r="K538" s="142" t="s">
        <v>129</v>
      </c>
      <c r="L538" s="142"/>
      <c r="M538" s="142">
        <v>0</v>
      </c>
      <c r="N538" s="142">
        <v>0</v>
      </c>
      <c r="O538" s="142">
        <v>1</v>
      </c>
      <c r="P538" s="142">
        <v>1</v>
      </c>
      <c r="Q538" s="143">
        <v>0</v>
      </c>
      <c r="R538" s="141">
        <v>5</v>
      </c>
      <c r="S538" s="142">
        <v>170</v>
      </c>
      <c r="T538" s="142">
        <v>3500</v>
      </c>
      <c r="U538" s="142">
        <v>25</v>
      </c>
      <c r="V538" s="143">
        <v>10</v>
      </c>
      <c r="W538" s="15"/>
    </row>
    <row r="539" spans="1:23" x14ac:dyDescent="0.3">
      <c r="A539" s="24"/>
      <c r="B539" s="138"/>
      <c r="C539" s="138"/>
      <c r="D539" s="5"/>
      <c r="E539" s="55"/>
      <c r="F539" s="81"/>
      <c r="G539" s="138"/>
      <c r="H539" s="144"/>
      <c r="I539" s="144"/>
      <c r="J539" s="138"/>
      <c r="K539" s="138"/>
      <c r="L539" s="24"/>
      <c r="M539" s="5"/>
      <c r="N539" s="5"/>
      <c r="O539" s="5"/>
      <c r="P539" s="5"/>
      <c r="Q539" s="38"/>
      <c r="R539" s="81"/>
      <c r="S539" s="138"/>
      <c r="T539" s="138"/>
      <c r="U539" s="138"/>
      <c r="V539" s="82"/>
    </row>
  </sheetData>
  <autoFilter ref="A1:Q83" xr:uid="{00000000-0009-0000-0000-000000000000}"/>
  <phoneticPr fontId="2" type="noConversion"/>
  <conditionalFormatting sqref="A1:A1048576">
    <cfRule type="duplicateValues" dxfId="2" priority="1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zoomScale="130" zoomScaleNormal="130" workbookViewId="0">
      <selection activeCell="E11" sqref="E11"/>
    </sheetView>
  </sheetViews>
  <sheetFormatPr defaultColWidth="8.875" defaultRowHeight="16.5" x14ac:dyDescent="0.3"/>
  <cols>
    <col min="1" max="1" width="15.875" style="3" customWidth="1"/>
    <col min="2" max="2" width="22" style="4" bestFit="1" customWidth="1"/>
  </cols>
  <sheetData>
    <row r="1" spans="1:2" x14ac:dyDescent="0.3">
      <c r="A1" s="1" t="s">
        <v>0</v>
      </c>
      <c r="B1" s="2" t="s">
        <v>634</v>
      </c>
    </row>
    <row r="2" spans="1:2" x14ac:dyDescent="0.3">
      <c r="A2" s="6" t="s">
        <v>635</v>
      </c>
      <c r="B2" s="6" t="s">
        <v>636</v>
      </c>
    </row>
    <row r="3" spans="1:2" x14ac:dyDescent="0.3">
      <c r="A3" s="98">
        <v>1</v>
      </c>
      <c r="B3" s="98">
        <v>101</v>
      </c>
    </row>
    <row r="4" spans="1:2" x14ac:dyDescent="0.3">
      <c r="A4" s="98">
        <v>2</v>
      </c>
      <c r="B4" s="98">
        <v>201</v>
      </c>
    </row>
    <row r="5" spans="1:2" x14ac:dyDescent="0.3">
      <c r="A5" s="98">
        <v>3</v>
      </c>
      <c r="B5" s="98">
        <v>301</v>
      </c>
    </row>
    <row r="6" spans="1:2" x14ac:dyDescent="0.3">
      <c r="A6" s="98">
        <v>4</v>
      </c>
      <c r="B6" s="98">
        <v>401</v>
      </c>
    </row>
    <row r="7" spans="1:2" x14ac:dyDescent="0.3">
      <c r="A7" s="98">
        <v>5</v>
      </c>
      <c r="B7" s="98">
        <v>501</v>
      </c>
    </row>
    <row r="8" spans="1:2" x14ac:dyDescent="0.3">
      <c r="A8" s="98">
        <v>6</v>
      </c>
      <c r="B8" s="98">
        <v>601</v>
      </c>
    </row>
    <row r="9" spans="1:2" x14ac:dyDescent="0.3">
      <c r="A9" s="98">
        <v>7</v>
      </c>
      <c r="B9" s="98">
        <v>701</v>
      </c>
    </row>
    <row r="10" spans="1:2" x14ac:dyDescent="0.3">
      <c r="A10" s="98">
        <v>-1</v>
      </c>
      <c r="B10" s="4">
        <v>0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4"/>
  <sheetViews>
    <sheetView topLeftCell="A36" zoomScale="145" zoomScaleNormal="145" workbookViewId="0">
      <selection activeCell="D23" sqref="D23"/>
    </sheetView>
  </sheetViews>
  <sheetFormatPr defaultColWidth="8.875" defaultRowHeight="16.5" x14ac:dyDescent="0.3"/>
  <cols>
    <col min="1" max="1" width="12" style="102" customWidth="1"/>
    <col min="2" max="2" width="23.625" style="102" bestFit="1" customWidth="1"/>
    <col min="3" max="3" width="15.625" style="102" bestFit="1" customWidth="1"/>
    <col min="4" max="4" width="20.375" style="102" customWidth="1"/>
    <col min="5" max="5" width="15.625" style="102" bestFit="1" customWidth="1"/>
    <col min="6" max="6" width="19.375" style="102" bestFit="1" customWidth="1"/>
    <col min="7" max="7" width="28.375" style="102" bestFit="1" customWidth="1"/>
    <col min="8" max="8" width="20.875" style="102" customWidth="1"/>
  </cols>
  <sheetData>
    <row r="1" spans="1:8" x14ac:dyDescent="0.3">
      <c r="A1" s="25" t="s">
        <v>0</v>
      </c>
      <c r="B1" s="26" t="s">
        <v>637</v>
      </c>
      <c r="C1" s="26" t="s">
        <v>638</v>
      </c>
      <c r="D1" s="28" t="s">
        <v>639</v>
      </c>
      <c r="E1" s="26" t="s">
        <v>640</v>
      </c>
      <c r="F1" s="28" t="s">
        <v>641</v>
      </c>
      <c r="G1" s="26" t="s">
        <v>642</v>
      </c>
      <c r="H1" s="56" t="s">
        <v>643</v>
      </c>
    </row>
    <row r="2" spans="1:8" x14ac:dyDescent="0.3">
      <c r="A2" s="33" t="s">
        <v>22</v>
      </c>
      <c r="B2" s="6" t="s">
        <v>644</v>
      </c>
      <c r="C2" s="6" t="s">
        <v>645</v>
      </c>
      <c r="D2" s="6" t="s">
        <v>646</v>
      </c>
      <c r="E2" s="6" t="s">
        <v>647</v>
      </c>
      <c r="F2" s="6" t="s">
        <v>648</v>
      </c>
      <c r="G2" s="6" t="s">
        <v>649</v>
      </c>
      <c r="H2" s="34" t="s">
        <v>650</v>
      </c>
    </row>
    <row r="3" spans="1:8" s="8" customFormat="1" ht="17.25" customHeight="1" thickBot="1" x14ac:dyDescent="0.35">
      <c r="A3" s="69">
        <v>101</v>
      </c>
      <c r="B3" s="12">
        <v>100001</v>
      </c>
      <c r="C3" s="12">
        <v>-1</v>
      </c>
      <c r="D3" s="12">
        <v>1</v>
      </c>
      <c r="E3" s="12">
        <v>101</v>
      </c>
      <c r="F3" s="12" t="s">
        <v>651</v>
      </c>
      <c r="G3" s="12" t="s">
        <v>651</v>
      </c>
      <c r="H3" s="57">
        <v>0</v>
      </c>
    </row>
    <row r="4" spans="1:8" x14ac:dyDescent="0.3">
      <c r="A4" s="70">
        <v>1001</v>
      </c>
      <c r="B4" s="104">
        <f t="shared" ref="B4:B48" si="0">A4-1000</f>
        <v>1</v>
      </c>
      <c r="C4" s="105">
        <v>1</v>
      </c>
      <c r="D4" s="105">
        <v>0</v>
      </c>
      <c r="E4" s="105">
        <v>10001</v>
      </c>
      <c r="F4" s="106" t="s">
        <v>652</v>
      </c>
      <c r="G4" s="105"/>
      <c r="H4" s="107">
        <v>0</v>
      </c>
    </row>
    <row r="5" spans="1:8" s="62" customFormat="1" x14ac:dyDescent="0.3">
      <c r="A5" s="71">
        <v>1002</v>
      </c>
      <c r="B5" s="64">
        <f t="shared" si="0"/>
        <v>2</v>
      </c>
      <c r="C5" s="60">
        <v>1</v>
      </c>
      <c r="D5" s="60">
        <v>1</v>
      </c>
      <c r="E5" s="59">
        <v>1001</v>
      </c>
      <c r="F5" s="63" t="s">
        <v>653</v>
      </c>
      <c r="G5" s="59" t="s">
        <v>654</v>
      </c>
      <c r="H5" s="72">
        <v>1</v>
      </c>
    </row>
    <row r="6" spans="1:8" x14ac:dyDescent="0.3">
      <c r="A6" s="96">
        <v>1003</v>
      </c>
      <c r="B6" s="97">
        <f t="shared" si="0"/>
        <v>3</v>
      </c>
      <c r="C6" s="98">
        <v>1</v>
      </c>
      <c r="D6" s="99">
        <v>2</v>
      </c>
      <c r="E6" s="98">
        <v>10002</v>
      </c>
      <c r="F6" s="100" t="s">
        <v>655</v>
      </c>
      <c r="G6" s="98"/>
      <c r="H6" s="101">
        <v>0</v>
      </c>
    </row>
    <row r="7" spans="1:8" x14ac:dyDescent="0.3">
      <c r="A7" s="96">
        <v>1004</v>
      </c>
      <c r="B7" s="97">
        <f t="shared" si="0"/>
        <v>4</v>
      </c>
      <c r="C7" s="98">
        <v>1</v>
      </c>
      <c r="D7" s="98">
        <v>3</v>
      </c>
      <c r="E7" s="98">
        <v>10003</v>
      </c>
      <c r="F7" s="100" t="s">
        <v>656</v>
      </c>
      <c r="G7" s="98"/>
      <c r="H7" s="101">
        <v>0</v>
      </c>
    </row>
    <row r="8" spans="1:8" x14ac:dyDescent="0.3">
      <c r="A8" s="96">
        <v>1005</v>
      </c>
      <c r="B8" s="97">
        <f t="shared" si="0"/>
        <v>5</v>
      </c>
      <c r="C8" s="98">
        <v>1</v>
      </c>
      <c r="D8" s="98">
        <v>4</v>
      </c>
      <c r="E8" s="98">
        <v>10004</v>
      </c>
      <c r="F8" s="100" t="s">
        <v>657</v>
      </c>
      <c r="G8" s="98"/>
      <c r="H8" s="101">
        <v>0</v>
      </c>
    </row>
    <row r="9" spans="1:8" x14ac:dyDescent="0.3">
      <c r="A9" s="96">
        <v>1006</v>
      </c>
      <c r="B9" s="97">
        <f t="shared" si="0"/>
        <v>6</v>
      </c>
      <c r="C9" s="98">
        <v>1</v>
      </c>
      <c r="D9" s="99">
        <v>5</v>
      </c>
      <c r="E9" s="98">
        <v>10005</v>
      </c>
      <c r="F9" s="100" t="s">
        <v>658</v>
      </c>
      <c r="G9" s="98"/>
      <c r="H9" s="101">
        <v>0</v>
      </c>
    </row>
    <row r="10" spans="1:8" s="62" customFormat="1" x14ac:dyDescent="0.3">
      <c r="A10" s="71">
        <v>1007</v>
      </c>
      <c r="B10" s="64">
        <f t="shared" si="0"/>
        <v>7</v>
      </c>
      <c r="C10" s="60">
        <v>1</v>
      </c>
      <c r="D10" s="60">
        <v>6</v>
      </c>
      <c r="E10" s="60">
        <v>1002</v>
      </c>
      <c r="F10" s="63" t="s">
        <v>659</v>
      </c>
      <c r="G10" s="59" t="s">
        <v>660</v>
      </c>
      <c r="H10" s="73">
        <v>2</v>
      </c>
    </row>
    <row r="11" spans="1:8" x14ac:dyDescent="0.3">
      <c r="A11" s="96">
        <v>1008</v>
      </c>
      <c r="B11" s="97">
        <f t="shared" si="0"/>
        <v>8</v>
      </c>
      <c r="C11" s="98">
        <v>1</v>
      </c>
      <c r="D11" s="98">
        <v>7</v>
      </c>
      <c r="E11" s="98">
        <v>10006</v>
      </c>
      <c r="F11" s="100" t="s">
        <v>661</v>
      </c>
      <c r="G11" s="98"/>
      <c r="H11" s="101">
        <v>0</v>
      </c>
    </row>
    <row r="12" spans="1:8" x14ac:dyDescent="0.3">
      <c r="A12" s="96">
        <v>1009</v>
      </c>
      <c r="B12" s="97">
        <f t="shared" si="0"/>
        <v>9</v>
      </c>
      <c r="C12" s="98">
        <v>1</v>
      </c>
      <c r="D12" s="99">
        <v>8</v>
      </c>
      <c r="E12" s="98">
        <v>10007</v>
      </c>
      <c r="F12" s="100" t="s">
        <v>662</v>
      </c>
      <c r="G12" s="98"/>
      <c r="H12" s="101">
        <v>0</v>
      </c>
    </row>
    <row r="13" spans="1:8" x14ac:dyDescent="0.3">
      <c r="A13" s="96">
        <v>1010</v>
      </c>
      <c r="B13" s="97">
        <f t="shared" si="0"/>
        <v>10</v>
      </c>
      <c r="C13" s="98">
        <v>1</v>
      </c>
      <c r="D13" s="98">
        <v>9</v>
      </c>
      <c r="E13" s="98">
        <v>10008</v>
      </c>
      <c r="F13" s="100" t="s">
        <v>663</v>
      </c>
      <c r="G13" s="98"/>
      <c r="H13" s="101">
        <v>0</v>
      </c>
    </row>
    <row r="14" spans="1:8" x14ac:dyDescent="0.3">
      <c r="A14" s="96">
        <v>1011</v>
      </c>
      <c r="B14" s="97">
        <f t="shared" si="0"/>
        <v>11</v>
      </c>
      <c r="C14" s="98">
        <v>1</v>
      </c>
      <c r="D14" s="98">
        <v>10</v>
      </c>
      <c r="E14" s="98">
        <v>10009</v>
      </c>
      <c r="F14" s="100" t="s">
        <v>664</v>
      </c>
      <c r="G14" s="98"/>
      <c r="H14" s="101">
        <v>0</v>
      </c>
    </row>
    <row r="15" spans="1:8" x14ac:dyDescent="0.3">
      <c r="A15" s="96">
        <v>1012</v>
      </c>
      <c r="B15" s="97">
        <f t="shared" si="0"/>
        <v>12</v>
      </c>
      <c r="C15" s="98">
        <v>1</v>
      </c>
      <c r="D15" s="99">
        <v>11</v>
      </c>
      <c r="E15" s="98">
        <v>10010</v>
      </c>
      <c r="F15" s="100" t="s">
        <v>665</v>
      </c>
      <c r="G15" s="98"/>
      <c r="H15" s="101">
        <v>0</v>
      </c>
    </row>
    <row r="16" spans="1:8" x14ac:dyDescent="0.3">
      <c r="A16" s="96">
        <v>1013</v>
      </c>
      <c r="B16" s="97">
        <f t="shared" si="0"/>
        <v>13</v>
      </c>
      <c r="C16" s="98">
        <v>1</v>
      </c>
      <c r="D16" s="98">
        <v>12</v>
      </c>
      <c r="E16" s="98">
        <v>10011</v>
      </c>
      <c r="F16" s="100" t="s">
        <v>666</v>
      </c>
      <c r="G16" s="98"/>
      <c r="H16" s="101">
        <v>0</v>
      </c>
    </row>
    <row r="17" spans="1:8" x14ac:dyDescent="0.3">
      <c r="A17" s="96">
        <v>1014</v>
      </c>
      <c r="B17" s="97">
        <f t="shared" si="0"/>
        <v>14</v>
      </c>
      <c r="C17" s="98">
        <v>1</v>
      </c>
      <c r="D17" s="98">
        <v>13</v>
      </c>
      <c r="E17" s="98">
        <v>10012</v>
      </c>
      <c r="F17" s="100" t="s">
        <v>667</v>
      </c>
      <c r="G17" s="98"/>
      <c r="H17" s="101">
        <v>0</v>
      </c>
    </row>
    <row r="18" spans="1:8" s="62" customFormat="1" ht="17.25" customHeight="1" thickBot="1" x14ac:dyDescent="0.35">
      <c r="A18" s="74">
        <v>1015</v>
      </c>
      <c r="B18" s="67">
        <f t="shared" si="0"/>
        <v>15</v>
      </c>
      <c r="C18" s="65">
        <v>1</v>
      </c>
      <c r="D18" s="68">
        <v>14</v>
      </c>
      <c r="E18" s="65">
        <v>1003</v>
      </c>
      <c r="F18" s="66" t="s">
        <v>668</v>
      </c>
      <c r="G18" s="59" t="s">
        <v>669</v>
      </c>
      <c r="H18" s="75">
        <v>3</v>
      </c>
    </row>
    <row r="19" spans="1:8" x14ac:dyDescent="0.3">
      <c r="A19" s="103">
        <v>1016</v>
      </c>
      <c r="B19" s="104">
        <f t="shared" si="0"/>
        <v>16</v>
      </c>
      <c r="C19" s="105">
        <v>2</v>
      </c>
      <c r="D19" s="105">
        <v>0</v>
      </c>
      <c r="E19" s="105">
        <v>10013</v>
      </c>
      <c r="F19" s="106" t="s">
        <v>670</v>
      </c>
      <c r="G19" s="105"/>
      <c r="H19" s="107">
        <v>0</v>
      </c>
    </row>
    <row r="20" spans="1:8" x14ac:dyDescent="0.3">
      <c r="A20" s="108">
        <v>1017</v>
      </c>
      <c r="B20" s="97">
        <f t="shared" si="0"/>
        <v>17</v>
      </c>
      <c r="C20" s="98">
        <v>2</v>
      </c>
      <c r="D20" s="98">
        <v>1</v>
      </c>
      <c r="E20" s="98">
        <v>10014</v>
      </c>
      <c r="F20" s="100" t="s">
        <v>671</v>
      </c>
      <c r="G20" s="98"/>
      <c r="H20" s="101">
        <v>0</v>
      </c>
    </row>
    <row r="21" spans="1:8" x14ac:dyDescent="0.3">
      <c r="A21" s="108">
        <v>1018</v>
      </c>
      <c r="B21" s="97">
        <f t="shared" si="0"/>
        <v>18</v>
      </c>
      <c r="C21" s="98">
        <v>2</v>
      </c>
      <c r="D21" s="98">
        <v>2</v>
      </c>
      <c r="E21" s="98">
        <v>10015</v>
      </c>
      <c r="F21" s="100" t="s">
        <v>672</v>
      </c>
      <c r="G21" s="98"/>
      <c r="H21" s="101">
        <v>0</v>
      </c>
    </row>
    <row r="22" spans="1:8" x14ac:dyDescent="0.3">
      <c r="A22" s="108">
        <v>1019</v>
      </c>
      <c r="B22" s="97">
        <f t="shared" si="0"/>
        <v>19</v>
      </c>
      <c r="C22" s="98">
        <v>2</v>
      </c>
      <c r="D22" s="98">
        <v>3</v>
      </c>
      <c r="E22" s="98">
        <v>10016</v>
      </c>
      <c r="F22" s="100" t="s">
        <v>673</v>
      </c>
      <c r="G22" s="98"/>
      <c r="H22" s="101">
        <v>0</v>
      </c>
    </row>
    <row r="23" spans="1:8" x14ac:dyDescent="0.3">
      <c r="A23" s="108">
        <v>1020</v>
      </c>
      <c r="B23" s="97">
        <f t="shared" si="0"/>
        <v>20</v>
      </c>
      <c r="C23" s="98">
        <v>2</v>
      </c>
      <c r="D23" s="98">
        <v>4</v>
      </c>
      <c r="E23" s="98">
        <v>10017</v>
      </c>
      <c r="F23" s="100" t="s">
        <v>674</v>
      </c>
      <c r="G23" s="98"/>
      <c r="H23" s="101">
        <v>0</v>
      </c>
    </row>
    <row r="24" spans="1:8" x14ac:dyDescent="0.3">
      <c r="A24" s="108">
        <v>1021</v>
      </c>
      <c r="B24" s="97">
        <f t="shared" si="0"/>
        <v>21</v>
      </c>
      <c r="C24" s="98">
        <v>2</v>
      </c>
      <c r="D24" s="98">
        <v>5</v>
      </c>
      <c r="E24" s="98">
        <v>10018</v>
      </c>
      <c r="F24" s="100" t="s">
        <v>675</v>
      </c>
      <c r="G24" s="98"/>
      <c r="H24" s="101">
        <v>0</v>
      </c>
    </row>
    <row r="25" spans="1:8" s="62" customFormat="1" x14ac:dyDescent="0.3">
      <c r="A25" s="76">
        <v>1022</v>
      </c>
      <c r="B25" s="64">
        <f t="shared" si="0"/>
        <v>22</v>
      </c>
      <c r="C25" s="60">
        <v>2</v>
      </c>
      <c r="D25" s="60">
        <v>6</v>
      </c>
      <c r="E25" s="60">
        <v>1004</v>
      </c>
      <c r="F25" s="61" t="s">
        <v>676</v>
      </c>
      <c r="G25" s="59" t="s">
        <v>677</v>
      </c>
      <c r="H25" s="73">
        <v>4</v>
      </c>
    </row>
    <row r="26" spans="1:8" x14ac:dyDescent="0.3">
      <c r="A26" s="108">
        <v>1023</v>
      </c>
      <c r="B26" s="97">
        <f t="shared" si="0"/>
        <v>23</v>
      </c>
      <c r="C26" s="98">
        <v>2</v>
      </c>
      <c r="D26" s="98">
        <v>7</v>
      </c>
      <c r="E26" s="98">
        <v>10019</v>
      </c>
      <c r="F26" s="100" t="s">
        <v>678</v>
      </c>
      <c r="G26" s="98"/>
      <c r="H26" s="101">
        <v>0</v>
      </c>
    </row>
    <row r="27" spans="1:8" x14ac:dyDescent="0.3">
      <c r="A27" s="108">
        <v>1024</v>
      </c>
      <c r="B27" s="97">
        <f t="shared" si="0"/>
        <v>24</v>
      </c>
      <c r="C27" s="98">
        <v>2</v>
      </c>
      <c r="D27" s="98">
        <v>8</v>
      </c>
      <c r="E27" s="98">
        <v>10020</v>
      </c>
      <c r="F27" s="100" t="s">
        <v>679</v>
      </c>
      <c r="G27" s="98"/>
      <c r="H27" s="101">
        <v>0</v>
      </c>
    </row>
    <row r="28" spans="1:8" x14ac:dyDescent="0.3">
      <c r="A28" s="108">
        <v>1025</v>
      </c>
      <c r="B28" s="97">
        <f t="shared" si="0"/>
        <v>25</v>
      </c>
      <c r="C28" s="98">
        <v>2</v>
      </c>
      <c r="D28" s="98">
        <v>9</v>
      </c>
      <c r="E28" s="98">
        <v>10021</v>
      </c>
      <c r="F28" s="100" t="s">
        <v>680</v>
      </c>
      <c r="G28" s="98"/>
      <c r="H28" s="101">
        <v>0</v>
      </c>
    </row>
    <row r="29" spans="1:8" x14ac:dyDescent="0.3">
      <c r="A29" s="108">
        <v>1026</v>
      </c>
      <c r="B29" s="97">
        <f t="shared" si="0"/>
        <v>26</v>
      </c>
      <c r="C29" s="98">
        <v>2</v>
      </c>
      <c r="D29" s="98">
        <v>10</v>
      </c>
      <c r="E29" s="98">
        <v>10022</v>
      </c>
      <c r="F29" s="100" t="s">
        <v>681</v>
      </c>
      <c r="G29" s="98"/>
      <c r="H29" s="101">
        <v>0</v>
      </c>
    </row>
    <row r="30" spans="1:8" x14ac:dyDescent="0.3">
      <c r="A30" s="108">
        <v>1027</v>
      </c>
      <c r="B30" s="97">
        <f t="shared" si="0"/>
        <v>27</v>
      </c>
      <c r="C30" s="98">
        <v>2</v>
      </c>
      <c r="D30" s="98">
        <v>11</v>
      </c>
      <c r="E30" s="98">
        <v>10023</v>
      </c>
      <c r="F30" s="100" t="s">
        <v>682</v>
      </c>
      <c r="G30" s="98"/>
      <c r="H30" s="101">
        <v>0</v>
      </c>
    </row>
    <row r="31" spans="1:8" x14ac:dyDescent="0.3">
      <c r="A31" s="108">
        <v>1028</v>
      </c>
      <c r="B31" s="97">
        <f t="shared" si="0"/>
        <v>28</v>
      </c>
      <c r="C31" s="98">
        <v>2</v>
      </c>
      <c r="D31" s="98">
        <v>12</v>
      </c>
      <c r="E31" s="98">
        <v>10024</v>
      </c>
      <c r="F31" s="100" t="s">
        <v>683</v>
      </c>
      <c r="G31" s="98"/>
      <c r="H31" s="101">
        <v>0</v>
      </c>
    </row>
    <row r="32" spans="1:8" x14ac:dyDescent="0.3">
      <c r="A32" s="108">
        <v>1029</v>
      </c>
      <c r="B32" s="97">
        <f t="shared" si="0"/>
        <v>29</v>
      </c>
      <c r="C32" s="98">
        <v>2</v>
      </c>
      <c r="D32" s="98">
        <v>13</v>
      </c>
      <c r="E32" s="98">
        <v>10025</v>
      </c>
      <c r="F32" s="100" t="s">
        <v>684</v>
      </c>
      <c r="G32" s="98"/>
      <c r="H32" s="101">
        <v>0</v>
      </c>
    </row>
    <row r="33" spans="1:8" s="62" customFormat="1" ht="17.25" customHeight="1" thickBot="1" x14ac:dyDescent="0.35">
      <c r="A33" s="77">
        <v>1030</v>
      </c>
      <c r="B33" s="67">
        <f t="shared" si="0"/>
        <v>30</v>
      </c>
      <c r="C33" s="65">
        <v>2</v>
      </c>
      <c r="D33" s="65">
        <v>14</v>
      </c>
      <c r="E33" s="65">
        <v>1005</v>
      </c>
      <c r="F33" s="66" t="s">
        <v>685</v>
      </c>
      <c r="G33" s="59" t="s">
        <v>686</v>
      </c>
      <c r="H33" s="75">
        <v>5</v>
      </c>
    </row>
    <row r="34" spans="1:8" x14ac:dyDescent="0.3">
      <c r="A34" s="103">
        <v>1031</v>
      </c>
      <c r="B34" s="104">
        <f t="shared" si="0"/>
        <v>31</v>
      </c>
      <c r="C34" s="105">
        <v>3</v>
      </c>
      <c r="D34" s="105">
        <v>0</v>
      </c>
      <c r="E34" s="105">
        <v>10026</v>
      </c>
      <c r="F34" s="106" t="s">
        <v>687</v>
      </c>
      <c r="G34" s="105"/>
      <c r="H34" s="107">
        <v>0</v>
      </c>
    </row>
    <row r="35" spans="1:8" x14ac:dyDescent="0.3">
      <c r="A35" s="108">
        <v>1032</v>
      </c>
      <c r="B35" s="97">
        <f t="shared" si="0"/>
        <v>32</v>
      </c>
      <c r="C35" s="98">
        <v>3</v>
      </c>
      <c r="D35" s="98">
        <v>1</v>
      </c>
      <c r="E35" s="98">
        <v>10027</v>
      </c>
      <c r="F35" s="100" t="s">
        <v>688</v>
      </c>
      <c r="G35" s="98"/>
      <c r="H35" s="101">
        <v>0</v>
      </c>
    </row>
    <row r="36" spans="1:8" x14ac:dyDescent="0.3">
      <c r="A36" s="108">
        <v>1033</v>
      </c>
      <c r="B36" s="97">
        <f t="shared" si="0"/>
        <v>33</v>
      </c>
      <c r="C36" s="98">
        <v>3</v>
      </c>
      <c r="D36" s="98">
        <v>2</v>
      </c>
      <c r="E36" s="98">
        <v>10028</v>
      </c>
      <c r="F36" s="100" t="s">
        <v>689</v>
      </c>
      <c r="G36" s="98"/>
      <c r="H36" s="101">
        <v>0</v>
      </c>
    </row>
    <row r="37" spans="1:8" x14ac:dyDescent="0.3">
      <c r="A37" s="108">
        <v>1034</v>
      </c>
      <c r="B37" s="97">
        <f t="shared" si="0"/>
        <v>34</v>
      </c>
      <c r="C37" s="98">
        <v>3</v>
      </c>
      <c r="D37" s="98">
        <v>3</v>
      </c>
      <c r="E37" s="98">
        <v>10029</v>
      </c>
      <c r="F37" s="100" t="s">
        <v>690</v>
      </c>
      <c r="G37" s="98"/>
      <c r="H37" s="101">
        <v>0</v>
      </c>
    </row>
    <row r="38" spans="1:8" x14ac:dyDescent="0.3">
      <c r="A38" s="108">
        <v>1035</v>
      </c>
      <c r="B38" s="97">
        <f t="shared" si="0"/>
        <v>35</v>
      </c>
      <c r="C38" s="98">
        <v>3</v>
      </c>
      <c r="D38" s="98">
        <v>4</v>
      </c>
      <c r="E38" s="98">
        <v>10030</v>
      </c>
      <c r="F38" s="100" t="s">
        <v>691</v>
      </c>
      <c r="G38" s="98"/>
      <c r="H38" s="101">
        <v>0</v>
      </c>
    </row>
    <row r="39" spans="1:8" x14ac:dyDescent="0.3">
      <c r="A39" s="108">
        <v>1036</v>
      </c>
      <c r="B39" s="97">
        <f t="shared" si="0"/>
        <v>36</v>
      </c>
      <c r="C39" s="98">
        <v>3</v>
      </c>
      <c r="D39" s="98">
        <v>5</v>
      </c>
      <c r="E39" s="98">
        <v>10031</v>
      </c>
      <c r="F39" s="100" t="s">
        <v>692</v>
      </c>
      <c r="G39" s="98"/>
      <c r="H39" s="101">
        <v>0</v>
      </c>
    </row>
    <row r="40" spans="1:8" s="62" customFormat="1" x14ac:dyDescent="0.3">
      <c r="A40" s="76">
        <v>1037</v>
      </c>
      <c r="B40" s="64">
        <f t="shared" si="0"/>
        <v>37</v>
      </c>
      <c r="C40" s="60">
        <v>3</v>
      </c>
      <c r="D40" s="60">
        <v>6</v>
      </c>
      <c r="E40" s="60">
        <v>1006</v>
      </c>
      <c r="F40" s="61" t="s">
        <v>693</v>
      </c>
      <c r="G40" s="59" t="s">
        <v>694</v>
      </c>
      <c r="H40" s="78">
        <v>6</v>
      </c>
    </row>
    <row r="41" spans="1:8" x14ac:dyDescent="0.3">
      <c r="A41" s="108">
        <v>1038</v>
      </c>
      <c r="B41" s="97">
        <f t="shared" si="0"/>
        <v>38</v>
      </c>
      <c r="C41" s="98">
        <v>3</v>
      </c>
      <c r="D41" s="98">
        <v>7</v>
      </c>
      <c r="E41" s="98">
        <v>10032</v>
      </c>
      <c r="F41" s="100" t="s">
        <v>695</v>
      </c>
      <c r="G41" s="98"/>
      <c r="H41" s="101">
        <v>0</v>
      </c>
    </row>
    <row r="42" spans="1:8" x14ac:dyDescent="0.3">
      <c r="A42" s="108">
        <v>1039</v>
      </c>
      <c r="B42" s="97">
        <f t="shared" si="0"/>
        <v>39</v>
      </c>
      <c r="C42" s="98">
        <v>3</v>
      </c>
      <c r="D42" s="98">
        <v>8</v>
      </c>
      <c r="E42" s="98">
        <v>10033</v>
      </c>
      <c r="F42" s="100" t="s">
        <v>696</v>
      </c>
      <c r="G42" s="98"/>
      <c r="H42" s="101">
        <v>0</v>
      </c>
    </row>
    <row r="43" spans="1:8" x14ac:dyDescent="0.3">
      <c r="A43" s="108">
        <v>1040</v>
      </c>
      <c r="B43" s="97">
        <f t="shared" si="0"/>
        <v>40</v>
      </c>
      <c r="C43" s="98">
        <v>3</v>
      </c>
      <c r="D43" s="98">
        <v>9</v>
      </c>
      <c r="E43" s="98">
        <v>10034</v>
      </c>
      <c r="F43" s="100" t="s">
        <v>697</v>
      </c>
      <c r="G43" s="98"/>
      <c r="H43" s="101">
        <v>0</v>
      </c>
    </row>
    <row r="44" spans="1:8" x14ac:dyDescent="0.3">
      <c r="A44" s="108">
        <v>1041</v>
      </c>
      <c r="B44" s="97">
        <f t="shared" si="0"/>
        <v>41</v>
      </c>
      <c r="C44" s="98">
        <v>3</v>
      </c>
      <c r="D44" s="98">
        <v>10</v>
      </c>
      <c r="E44" s="98">
        <v>10035</v>
      </c>
      <c r="F44" s="100" t="s">
        <v>698</v>
      </c>
      <c r="G44" s="98"/>
      <c r="H44" s="101">
        <v>0</v>
      </c>
    </row>
    <row r="45" spans="1:8" x14ac:dyDescent="0.3">
      <c r="A45" s="108">
        <v>1042</v>
      </c>
      <c r="B45" s="97">
        <f t="shared" si="0"/>
        <v>42</v>
      </c>
      <c r="C45" s="98">
        <v>3</v>
      </c>
      <c r="D45" s="98">
        <v>11</v>
      </c>
      <c r="E45" s="98">
        <v>10036</v>
      </c>
      <c r="F45" s="100" t="s">
        <v>699</v>
      </c>
      <c r="G45" s="98"/>
      <c r="H45" s="101">
        <v>0</v>
      </c>
    </row>
    <row r="46" spans="1:8" x14ac:dyDescent="0.3">
      <c r="A46" s="108">
        <v>1043</v>
      </c>
      <c r="B46" s="97">
        <f t="shared" si="0"/>
        <v>43</v>
      </c>
      <c r="C46" s="98">
        <v>3</v>
      </c>
      <c r="D46" s="98">
        <v>12</v>
      </c>
      <c r="E46" s="98">
        <v>10037</v>
      </c>
      <c r="F46" s="100" t="s">
        <v>700</v>
      </c>
      <c r="G46" s="98"/>
      <c r="H46" s="101">
        <v>0</v>
      </c>
    </row>
    <row r="47" spans="1:8" x14ac:dyDescent="0.3">
      <c r="A47" s="108">
        <v>1044</v>
      </c>
      <c r="B47" s="97">
        <f t="shared" si="0"/>
        <v>44</v>
      </c>
      <c r="C47" s="98">
        <v>3</v>
      </c>
      <c r="D47" s="98">
        <v>13</v>
      </c>
      <c r="E47" s="98">
        <v>10038</v>
      </c>
      <c r="F47" s="100" t="s">
        <v>701</v>
      </c>
      <c r="G47" s="98"/>
      <c r="H47" s="101">
        <v>0</v>
      </c>
    </row>
    <row r="48" spans="1:8" s="62" customFormat="1" x14ac:dyDescent="0.3">
      <c r="A48" s="86">
        <v>1045</v>
      </c>
      <c r="B48" s="87">
        <f t="shared" si="0"/>
        <v>45</v>
      </c>
      <c r="C48" s="88">
        <v>3</v>
      </c>
      <c r="D48" s="88">
        <v>14</v>
      </c>
      <c r="E48" s="88">
        <v>1007</v>
      </c>
      <c r="F48" s="89" t="s">
        <v>702</v>
      </c>
      <c r="G48" s="90" t="s">
        <v>703</v>
      </c>
      <c r="H48" s="91">
        <v>7</v>
      </c>
    </row>
    <row r="49" spans="1:8" s="3" customFormat="1" x14ac:dyDescent="0.3">
      <c r="A49" s="43"/>
      <c r="B49" s="92"/>
      <c r="C49" s="98"/>
      <c r="D49" s="98"/>
      <c r="E49" s="98"/>
      <c r="F49" s="100"/>
      <c r="G49" s="98"/>
      <c r="H49" s="101"/>
    </row>
    <row r="50" spans="1:8" s="3" customFormat="1" x14ac:dyDescent="0.3">
      <c r="A50" s="43"/>
      <c r="B50" s="92"/>
      <c r="C50" s="98"/>
      <c r="D50" s="98"/>
      <c r="E50" s="98"/>
      <c r="F50" s="100"/>
      <c r="G50" s="98"/>
      <c r="H50" s="101"/>
    </row>
    <row r="51" spans="1:8" s="3" customFormat="1" x14ac:dyDescent="0.3">
      <c r="A51" s="43"/>
      <c r="B51" s="92"/>
      <c r="C51" s="98"/>
      <c r="D51" s="98"/>
      <c r="E51" s="98"/>
      <c r="F51" s="100"/>
      <c r="G51" s="93"/>
      <c r="H51" s="101"/>
    </row>
    <row r="52" spans="1:8" s="3" customFormat="1" x14ac:dyDescent="0.3">
      <c r="A52" s="43"/>
      <c r="B52" s="92"/>
      <c r="C52" s="98"/>
      <c r="D52" s="98"/>
      <c r="E52" s="98"/>
      <c r="F52" s="100"/>
      <c r="G52" s="93"/>
      <c r="H52" s="101"/>
    </row>
    <row r="53" spans="1:8" s="3" customFormat="1" x14ac:dyDescent="0.3">
      <c r="A53" s="43"/>
      <c r="B53" s="92"/>
      <c r="C53" s="98"/>
      <c r="D53" s="98"/>
      <c r="E53" s="98"/>
      <c r="F53" s="100"/>
      <c r="G53" s="93"/>
      <c r="H53" s="101"/>
    </row>
    <row r="54" spans="1:8" s="3" customFormat="1" x14ac:dyDescent="0.3">
      <c r="A54" s="43"/>
      <c r="B54" s="92"/>
      <c r="C54" s="98"/>
      <c r="D54" s="98"/>
      <c r="E54" s="98"/>
      <c r="F54" s="100"/>
      <c r="G54" s="93"/>
      <c r="H54" s="101"/>
    </row>
    <row r="55" spans="1:8" s="3" customFormat="1" x14ac:dyDescent="0.3">
      <c r="A55" s="43"/>
      <c r="B55" s="92"/>
      <c r="C55" s="98"/>
      <c r="D55" s="98"/>
      <c r="E55" s="98"/>
      <c r="F55" s="100"/>
      <c r="G55" s="98"/>
      <c r="H55" s="101"/>
    </row>
    <row r="56" spans="1:8" s="3" customFormat="1" x14ac:dyDescent="0.3">
      <c r="A56" s="43"/>
      <c r="B56" s="92"/>
      <c r="C56" s="98"/>
      <c r="D56" s="98"/>
      <c r="E56" s="98"/>
      <c r="F56" s="100"/>
      <c r="G56" s="93"/>
      <c r="H56" s="101"/>
    </row>
    <row r="57" spans="1:8" s="3" customFormat="1" x14ac:dyDescent="0.3">
      <c r="A57" s="43"/>
      <c r="B57" s="92"/>
      <c r="C57" s="98"/>
      <c r="D57" s="98"/>
      <c r="E57" s="98"/>
      <c r="F57" s="100"/>
      <c r="G57" s="93"/>
      <c r="H57" s="101"/>
    </row>
    <row r="58" spans="1:8" s="3" customFormat="1" x14ac:dyDescent="0.3">
      <c r="A58" s="43"/>
      <c r="B58" s="92"/>
      <c r="C58" s="98"/>
      <c r="D58" s="98"/>
      <c r="E58" s="98"/>
      <c r="F58" s="100"/>
      <c r="G58" s="98"/>
      <c r="H58" s="101"/>
    </row>
    <row r="59" spans="1:8" s="3" customFormat="1" x14ac:dyDescent="0.3">
      <c r="A59" s="43"/>
      <c r="B59" s="92"/>
      <c r="C59" s="98"/>
      <c r="D59" s="98"/>
      <c r="E59" s="98"/>
      <c r="F59" s="100"/>
      <c r="G59" s="98"/>
      <c r="H59" s="101"/>
    </row>
    <row r="60" spans="1:8" s="3" customFormat="1" x14ac:dyDescent="0.3">
      <c r="A60" s="43"/>
      <c r="B60" s="92"/>
      <c r="C60" s="98"/>
      <c r="D60" s="98"/>
      <c r="E60" s="98"/>
      <c r="F60" s="100"/>
      <c r="G60" s="98"/>
      <c r="H60" s="94"/>
    </row>
    <row r="61" spans="1:8" s="3" customFormat="1" x14ac:dyDescent="0.3">
      <c r="A61" s="43"/>
      <c r="B61" s="92"/>
      <c r="C61" s="98"/>
      <c r="D61" s="98"/>
      <c r="E61" s="98"/>
      <c r="F61" s="100"/>
      <c r="G61" s="98"/>
      <c r="H61" s="94"/>
    </row>
    <row r="62" spans="1:8" s="3" customFormat="1" x14ac:dyDescent="0.3">
      <c r="A62" s="43"/>
      <c r="B62" s="92"/>
      <c r="C62" s="98"/>
      <c r="D62" s="98"/>
      <c r="E62" s="98"/>
      <c r="F62" s="100"/>
      <c r="G62" s="98"/>
      <c r="H62" s="101"/>
    </row>
    <row r="63" spans="1:8" s="3" customFormat="1" x14ac:dyDescent="0.3">
      <c r="A63" s="43"/>
      <c r="B63" s="92"/>
      <c r="C63" s="98"/>
      <c r="D63" s="98"/>
      <c r="E63" s="98"/>
      <c r="F63" s="100"/>
      <c r="G63" s="98"/>
      <c r="H63" s="101"/>
    </row>
    <row r="64" spans="1:8" s="3" customFormat="1" ht="17.25" customHeight="1" thickBot="1" x14ac:dyDescent="0.35">
      <c r="A64" s="45"/>
      <c r="B64" s="95"/>
      <c r="C64" s="10"/>
      <c r="D64" s="10"/>
      <c r="E64" s="10"/>
      <c r="F64" s="11"/>
      <c r="G64" s="10"/>
      <c r="H64" s="40"/>
    </row>
  </sheetData>
  <autoFilter ref="A1:H58" xr:uid="{00000000-0009-0000-0000-000002000000}"/>
  <phoneticPr fontId="2" type="noConversion"/>
  <conditionalFormatting sqref="A1:A1048576">
    <cfRule type="duplicateValues" dxfId="1" priority="3"/>
  </conditionalFormatting>
  <conditionalFormatting sqref="E4:E18">
    <cfRule type="duplicateValues" dxfId="0" priority="2"/>
  </conditionalFormatting>
  <pageMargins left="0.7" right="0.7" top="0.75" bottom="0.75" header="0.3" footer="0.3"/>
  <pageSetup paperSize="9"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zoomScaleNormal="100" workbookViewId="0">
      <selection activeCell="C17" sqref="C17"/>
    </sheetView>
  </sheetViews>
  <sheetFormatPr defaultColWidth="11" defaultRowHeight="16.5" x14ac:dyDescent="0.3"/>
  <cols>
    <col min="1" max="1" width="3.625" style="102" bestFit="1" customWidth="1"/>
    <col min="2" max="2" width="36.375" style="102" customWidth="1"/>
    <col min="3" max="3" width="43.875" style="102" customWidth="1"/>
    <col min="4" max="4" width="26.875" style="102" bestFit="1" customWidth="1"/>
    <col min="5" max="5" width="27.875" style="102" customWidth="1"/>
  </cols>
  <sheetData>
    <row r="1" spans="1:7" x14ac:dyDescent="0.3">
      <c r="A1" t="s">
        <v>0</v>
      </c>
      <c r="B1" t="s">
        <v>704</v>
      </c>
      <c r="C1" t="s">
        <v>705</v>
      </c>
      <c r="D1" t="s">
        <v>706</v>
      </c>
      <c r="E1" t="s">
        <v>707</v>
      </c>
      <c r="F1" t="s">
        <v>708</v>
      </c>
      <c r="G1" t="s">
        <v>709</v>
      </c>
    </row>
    <row r="2" spans="1:7" x14ac:dyDescent="0.3">
      <c r="A2">
        <v>1</v>
      </c>
      <c r="B2" s="98" t="s">
        <v>710</v>
      </c>
      <c r="C2" s="98" t="s">
        <v>711</v>
      </c>
      <c r="D2" s="98" t="s">
        <v>712</v>
      </c>
    </row>
    <row r="3" spans="1:7" x14ac:dyDescent="0.3">
      <c r="A3">
        <v>2</v>
      </c>
      <c r="B3" s="98" t="s">
        <v>713</v>
      </c>
      <c r="C3" s="98" t="s">
        <v>714</v>
      </c>
      <c r="D3" s="98" t="s">
        <v>715</v>
      </c>
    </row>
    <row r="4" spans="1:7" x14ac:dyDescent="0.3">
      <c r="A4">
        <v>3</v>
      </c>
      <c r="B4" s="98" t="s">
        <v>716</v>
      </c>
      <c r="C4" s="98" t="s">
        <v>717</v>
      </c>
      <c r="D4" s="98" t="s">
        <v>718</v>
      </c>
    </row>
    <row r="5" spans="1:7" x14ac:dyDescent="0.3">
      <c r="A5">
        <v>4</v>
      </c>
      <c r="B5" s="98" t="s">
        <v>719</v>
      </c>
      <c r="C5" s="98" t="s">
        <v>720</v>
      </c>
      <c r="D5" s="98" t="s">
        <v>721</v>
      </c>
    </row>
    <row r="6" spans="1:7" x14ac:dyDescent="0.3">
      <c r="A6">
        <v>5</v>
      </c>
      <c r="B6" s="98" t="s">
        <v>722</v>
      </c>
      <c r="C6" s="98" t="s">
        <v>713</v>
      </c>
      <c r="D6" s="98" t="s">
        <v>723</v>
      </c>
    </row>
    <row r="7" spans="1:7" x14ac:dyDescent="0.3">
      <c r="A7">
        <v>6</v>
      </c>
      <c r="B7" s="98" t="s">
        <v>724</v>
      </c>
      <c r="C7" s="98" t="s">
        <v>725</v>
      </c>
      <c r="D7" s="98" t="s">
        <v>710</v>
      </c>
    </row>
    <row r="8" spans="1:7" x14ac:dyDescent="0.3">
      <c r="A8">
        <v>7</v>
      </c>
      <c r="B8" s="98" t="s">
        <v>726</v>
      </c>
      <c r="C8" s="98" t="s">
        <v>727</v>
      </c>
      <c r="D8" s="98" t="s">
        <v>728</v>
      </c>
    </row>
    <row r="9" spans="1:7" x14ac:dyDescent="0.3">
      <c r="A9">
        <v>8</v>
      </c>
      <c r="B9" s="98" t="s">
        <v>729</v>
      </c>
      <c r="C9" s="98" t="s">
        <v>730</v>
      </c>
      <c r="D9" s="98" t="s">
        <v>731</v>
      </c>
    </row>
    <row r="10" spans="1:7" x14ac:dyDescent="0.3">
      <c r="A10">
        <v>9</v>
      </c>
      <c r="B10" s="98" t="s">
        <v>732</v>
      </c>
      <c r="C10" s="98" t="s">
        <v>733</v>
      </c>
      <c r="D10" s="98" t="s">
        <v>734</v>
      </c>
    </row>
    <row r="11" spans="1:7" x14ac:dyDescent="0.3">
      <c r="A11">
        <v>10</v>
      </c>
      <c r="B11" s="98" t="s">
        <v>735</v>
      </c>
      <c r="C11" s="98" t="s">
        <v>736</v>
      </c>
      <c r="D11" s="98" t="s">
        <v>737</v>
      </c>
    </row>
    <row r="12" spans="1:7" x14ac:dyDescent="0.3">
      <c r="A12">
        <v>11</v>
      </c>
      <c r="B12" s="98" t="s">
        <v>738</v>
      </c>
      <c r="C12" s="98" t="s">
        <v>736</v>
      </c>
      <c r="D12" s="98" t="s">
        <v>739</v>
      </c>
    </row>
    <row r="13" spans="1:7" x14ac:dyDescent="0.3">
      <c r="A13">
        <v>12</v>
      </c>
      <c r="B13" s="98" t="s">
        <v>728</v>
      </c>
      <c r="C13" s="98" t="s">
        <v>729</v>
      </c>
      <c r="D13" s="98" t="s">
        <v>726</v>
      </c>
    </row>
    <row r="14" spans="1:7" x14ac:dyDescent="0.3">
      <c r="A14">
        <v>13</v>
      </c>
      <c r="B14" s="98" t="s">
        <v>740</v>
      </c>
      <c r="C14" s="98" t="s">
        <v>713</v>
      </c>
      <c r="D14" s="98" t="s">
        <v>741</v>
      </c>
    </row>
    <row r="15" spans="1:7" x14ac:dyDescent="0.3">
      <c r="A15">
        <v>14</v>
      </c>
      <c r="B15" s="98" t="s">
        <v>735</v>
      </c>
      <c r="C15" s="98" t="s">
        <v>742</v>
      </c>
      <c r="D15" s="98" t="s">
        <v>743</v>
      </c>
    </row>
    <row r="16" spans="1:7" x14ac:dyDescent="0.3">
      <c r="A16">
        <v>15</v>
      </c>
      <c r="B16" s="98" t="s">
        <v>744</v>
      </c>
      <c r="C16" s="98" t="s">
        <v>720</v>
      </c>
      <c r="D16" s="98" t="s">
        <v>745</v>
      </c>
    </row>
    <row r="17" spans="1:4" x14ac:dyDescent="0.3">
      <c r="A17">
        <v>16</v>
      </c>
      <c r="B17" s="98" t="s">
        <v>746</v>
      </c>
      <c r="C17" s="98" t="s">
        <v>747</v>
      </c>
      <c r="D17" s="98" t="s">
        <v>748</v>
      </c>
    </row>
    <row r="18" spans="1:4" x14ac:dyDescent="0.3">
      <c r="A18">
        <v>17</v>
      </c>
      <c r="B18" s="98" t="s">
        <v>749</v>
      </c>
      <c r="C18" s="98" t="s">
        <v>750</v>
      </c>
      <c r="D18" s="98" t="s">
        <v>751</v>
      </c>
    </row>
    <row r="19" spans="1:4" x14ac:dyDescent="0.3">
      <c r="A19">
        <v>18</v>
      </c>
      <c r="B19" s="98" t="s">
        <v>729</v>
      </c>
      <c r="C19" s="98" t="s">
        <v>752</v>
      </c>
      <c r="D19" s="98" t="s">
        <v>753</v>
      </c>
    </row>
    <row r="20" spans="1:4" x14ac:dyDescent="0.3">
      <c r="A20">
        <v>19</v>
      </c>
      <c r="B20" s="98" t="s">
        <v>754</v>
      </c>
      <c r="C20" s="98" t="s">
        <v>755</v>
      </c>
      <c r="D20" s="98" t="s">
        <v>756</v>
      </c>
    </row>
    <row r="21" spans="1:4" x14ac:dyDescent="0.3">
      <c r="A21">
        <v>20</v>
      </c>
      <c r="B21" s="98" t="s">
        <v>715</v>
      </c>
      <c r="C21" s="98" t="s">
        <v>757</v>
      </c>
      <c r="D21" s="98" t="s">
        <v>737</v>
      </c>
    </row>
    <row r="22" spans="1:4" x14ac:dyDescent="0.3">
      <c r="A22">
        <v>21</v>
      </c>
      <c r="B22" s="98" t="s">
        <v>715</v>
      </c>
      <c r="C22" s="98" t="s">
        <v>758</v>
      </c>
      <c r="D22" s="98" t="s">
        <v>759</v>
      </c>
    </row>
    <row r="23" spans="1:4" x14ac:dyDescent="0.3">
      <c r="A23">
        <v>22</v>
      </c>
      <c r="B23" s="98" t="s">
        <v>715</v>
      </c>
      <c r="C23" s="98" t="s">
        <v>760</v>
      </c>
      <c r="D23" s="98" t="s">
        <v>712</v>
      </c>
    </row>
    <row r="24" spans="1:4" x14ac:dyDescent="0.3">
      <c r="A24">
        <v>23</v>
      </c>
      <c r="B24" s="98" t="s">
        <v>761</v>
      </c>
      <c r="C24" s="98" t="s">
        <v>762</v>
      </c>
      <c r="D24" s="98" t="s">
        <v>763</v>
      </c>
    </row>
    <row r="25" spans="1:4" x14ac:dyDescent="0.3">
      <c r="A25">
        <v>24</v>
      </c>
      <c r="B25" s="98" t="s">
        <v>712</v>
      </c>
      <c r="C25" s="98" t="s">
        <v>764</v>
      </c>
      <c r="D25" s="98" t="s">
        <v>765</v>
      </c>
    </row>
    <row r="26" spans="1:4" x14ac:dyDescent="0.3">
      <c r="A26">
        <v>25</v>
      </c>
      <c r="B26" s="98" t="s">
        <v>766</v>
      </c>
      <c r="C26" s="98" t="s">
        <v>767</v>
      </c>
      <c r="D26" s="98" t="s">
        <v>768</v>
      </c>
    </row>
    <row r="27" spans="1:4" x14ac:dyDescent="0.3">
      <c r="A27">
        <v>26</v>
      </c>
      <c r="B27" s="98" t="s">
        <v>769</v>
      </c>
      <c r="C27" s="98" t="s">
        <v>770</v>
      </c>
      <c r="D27" s="98" t="s">
        <v>771</v>
      </c>
    </row>
    <row r="28" spans="1:4" x14ac:dyDescent="0.3">
      <c r="A28">
        <v>27</v>
      </c>
      <c r="B28" s="98" t="s">
        <v>772</v>
      </c>
      <c r="C28" s="98" t="s">
        <v>773</v>
      </c>
      <c r="D28" s="98" t="s">
        <v>774</v>
      </c>
    </row>
    <row r="29" spans="1:4" x14ac:dyDescent="0.3">
      <c r="A29">
        <v>28</v>
      </c>
      <c r="B29" s="98" t="s">
        <v>775</v>
      </c>
      <c r="C29" s="98" t="s">
        <v>712</v>
      </c>
      <c r="D29" s="98" t="s">
        <v>776</v>
      </c>
    </row>
    <row r="30" spans="1:4" x14ac:dyDescent="0.3">
      <c r="A30">
        <v>29</v>
      </c>
      <c r="B30" s="98" t="s">
        <v>726</v>
      </c>
      <c r="C30" s="98" t="s">
        <v>715</v>
      </c>
      <c r="D30" s="98" t="s">
        <v>777</v>
      </c>
    </row>
    <row r="31" spans="1:4" x14ac:dyDescent="0.3">
      <c r="A31">
        <v>30</v>
      </c>
      <c r="B31" s="98" t="s">
        <v>778</v>
      </c>
      <c r="C31" s="98" t="s">
        <v>779</v>
      </c>
      <c r="D31" s="98" t="s">
        <v>780</v>
      </c>
    </row>
    <row r="32" spans="1:4" x14ac:dyDescent="0.3">
      <c r="A32">
        <v>31</v>
      </c>
      <c r="B32" s="98" t="s">
        <v>781</v>
      </c>
      <c r="C32" s="98" t="s">
        <v>782</v>
      </c>
      <c r="D32" s="98" t="s">
        <v>783</v>
      </c>
    </row>
    <row r="33" spans="1:5" x14ac:dyDescent="0.3">
      <c r="A33">
        <v>32</v>
      </c>
      <c r="B33" s="98" t="s">
        <v>784</v>
      </c>
      <c r="C33" s="98" t="s">
        <v>782</v>
      </c>
      <c r="D33" s="98" t="s">
        <v>785</v>
      </c>
    </row>
    <row r="34" spans="1:5" x14ac:dyDescent="0.3">
      <c r="A34">
        <v>33</v>
      </c>
      <c r="B34" s="98" t="s">
        <v>786</v>
      </c>
      <c r="C34" s="98" t="s">
        <v>787</v>
      </c>
      <c r="D34" s="98" t="s">
        <v>714</v>
      </c>
    </row>
    <row r="35" spans="1:5" x14ac:dyDescent="0.3">
      <c r="A35">
        <v>34</v>
      </c>
      <c r="B35" s="98" t="s">
        <v>710</v>
      </c>
      <c r="C35" s="98" t="s">
        <v>711</v>
      </c>
      <c r="D35" s="98" t="s">
        <v>712</v>
      </c>
      <c r="E35" s="9" t="s">
        <v>771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13"/>
  <sheetViews>
    <sheetView workbookViewId="0">
      <pane xSplit="2" ySplit="13" topLeftCell="C419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6" style="102" customWidth="1"/>
    <col min="2" max="10" width="10" style="102" customWidth="1"/>
    <col min="11" max="13" width="12" style="102" customWidth="1"/>
    <col min="14" max="14" width="10" style="102" customWidth="1"/>
  </cols>
  <sheetData>
    <row r="1" spans="1:13" ht="21.95" customHeight="1" x14ac:dyDescent="0.3">
      <c r="B1" s="109" t="s">
        <v>788</v>
      </c>
    </row>
    <row r="2" spans="1:13" x14ac:dyDescent="0.3">
      <c r="B2" s="110" t="s">
        <v>789</v>
      </c>
      <c r="C2" s="110" t="s">
        <v>790</v>
      </c>
      <c r="D2" s="110" t="s">
        <v>791</v>
      </c>
      <c r="E2" s="110" t="s">
        <v>792</v>
      </c>
      <c r="F2" s="110" t="s">
        <v>793</v>
      </c>
    </row>
    <row r="3" spans="1:13" ht="18" customHeight="1" x14ac:dyDescent="0.3">
      <c r="B3" s="111" t="s">
        <v>5</v>
      </c>
      <c r="C3" s="112">
        <v>20</v>
      </c>
      <c r="D3" s="113" t="s">
        <v>794</v>
      </c>
      <c r="E3" s="112">
        <v>10</v>
      </c>
      <c r="F3" s="112">
        <v>300</v>
      </c>
    </row>
    <row r="4" spans="1:13" ht="18" customHeight="1" x14ac:dyDescent="0.3">
      <c r="B4" s="111" t="s">
        <v>795</v>
      </c>
      <c r="C4" s="112">
        <v>12</v>
      </c>
      <c r="D4" s="113" t="s">
        <v>794</v>
      </c>
      <c r="E4" s="112">
        <v>1</v>
      </c>
      <c r="F4" s="112">
        <v>5</v>
      </c>
    </row>
    <row r="5" spans="1:13" ht="18" customHeight="1" x14ac:dyDescent="0.3">
      <c r="B5" s="111" t="s">
        <v>796</v>
      </c>
      <c r="C5" s="112">
        <v>10</v>
      </c>
      <c r="D5" s="113" t="s">
        <v>794</v>
      </c>
      <c r="E5" s="112">
        <v>1</v>
      </c>
      <c r="F5" s="112">
        <v>4</v>
      </c>
    </row>
    <row r="6" spans="1:13" ht="18" customHeight="1" x14ac:dyDescent="0.3">
      <c r="B6" s="111" t="s">
        <v>797</v>
      </c>
      <c r="C6" s="112">
        <v>8</v>
      </c>
      <c r="D6" s="113" t="s">
        <v>798</v>
      </c>
      <c r="E6" s="112">
        <v>0.1</v>
      </c>
      <c r="F6" s="112">
        <v>0.8</v>
      </c>
    </row>
    <row r="7" spans="1:13" ht="18" customHeight="1" x14ac:dyDescent="0.3">
      <c r="B7" s="111" t="s">
        <v>799</v>
      </c>
      <c r="C7" s="112">
        <v>10</v>
      </c>
      <c r="D7" s="113" t="s">
        <v>800</v>
      </c>
      <c r="E7" s="112">
        <v>2</v>
      </c>
      <c r="F7" s="112">
        <v>30</v>
      </c>
    </row>
    <row r="8" spans="1:13" ht="18" customHeight="1" x14ac:dyDescent="0.3">
      <c r="B8" s="111" t="s">
        <v>801</v>
      </c>
      <c r="C8" s="112">
        <v>8</v>
      </c>
      <c r="D8" s="113" t="s">
        <v>794</v>
      </c>
      <c r="E8" s="112">
        <v>0</v>
      </c>
      <c r="F8" s="112">
        <v>5</v>
      </c>
    </row>
    <row r="9" spans="1:13" ht="18" customHeight="1" x14ac:dyDescent="0.3">
      <c r="B9" s="111" t="s">
        <v>802</v>
      </c>
      <c r="C9" s="112">
        <v>14</v>
      </c>
      <c r="D9" s="113" t="s">
        <v>794</v>
      </c>
      <c r="E9" s="112">
        <v>0</v>
      </c>
      <c r="F9" s="112">
        <v>0.5</v>
      </c>
    </row>
    <row r="10" spans="1:13" ht="18" customHeight="1" x14ac:dyDescent="0.3">
      <c r="B10" s="111" t="s">
        <v>803</v>
      </c>
      <c r="C10" s="114">
        <f>SUM(C3:C9)</f>
        <v>82</v>
      </c>
    </row>
    <row r="11" spans="1:13" ht="8.1" customHeight="1" x14ac:dyDescent="0.3"/>
    <row r="12" spans="1:13" ht="30" customHeight="1" x14ac:dyDescent="0.3">
      <c r="A12" s="115" t="s">
        <v>804</v>
      </c>
      <c r="B12" s="115" t="s">
        <v>2</v>
      </c>
      <c r="C12" s="115" t="s">
        <v>805</v>
      </c>
      <c r="D12" s="115" t="s">
        <v>806</v>
      </c>
      <c r="E12" s="115" t="s">
        <v>807</v>
      </c>
      <c r="F12" s="115" t="s">
        <v>808</v>
      </c>
      <c r="G12" s="115" t="s">
        <v>809</v>
      </c>
      <c r="H12" s="115" t="s">
        <v>810</v>
      </c>
      <c r="I12" s="115" t="s">
        <v>811</v>
      </c>
      <c r="J12" s="115" t="s">
        <v>812</v>
      </c>
      <c r="K12" s="115" t="s">
        <v>813</v>
      </c>
      <c r="L12" s="115" t="s">
        <v>814</v>
      </c>
      <c r="M12" s="115" t="s">
        <v>815</v>
      </c>
    </row>
    <row r="13" spans="1:13" ht="21.95" customHeight="1" x14ac:dyDescent="0.3">
      <c r="A13" s="116" t="s">
        <v>816</v>
      </c>
      <c r="B13" s="116" t="s">
        <v>817</v>
      </c>
      <c r="C13" s="116" t="s">
        <v>818</v>
      </c>
      <c r="D13" s="116" t="s">
        <v>819</v>
      </c>
      <c r="E13" s="116" t="s">
        <v>820</v>
      </c>
      <c r="F13" s="116" t="s">
        <v>821</v>
      </c>
      <c r="G13" s="116" t="s">
        <v>822</v>
      </c>
      <c r="H13" s="116" t="s">
        <v>810</v>
      </c>
      <c r="I13" s="116" t="s">
        <v>811</v>
      </c>
      <c r="J13" s="116" t="s">
        <v>823</v>
      </c>
      <c r="K13" s="116" t="s">
        <v>813</v>
      </c>
      <c r="L13" s="116" t="s">
        <v>824</v>
      </c>
      <c r="M13" s="116" t="s">
        <v>825</v>
      </c>
    </row>
    <row r="14" spans="1:13" ht="15.95" customHeight="1" x14ac:dyDescent="0.3">
      <c r="A14" s="117">
        <v>1</v>
      </c>
      <c r="B14" s="117" t="str">
        <f>Stage!C39</f>
        <v>N 001</v>
      </c>
      <c r="C14" s="117">
        <f>Stage!F39</f>
        <v>65</v>
      </c>
      <c r="D14" s="117">
        <f>IF(Stage!G39="",0,LEN(TRIM(Stage!G39))-LEN(SUBSTITUTE(TRIM(Stage!G39),",",""))+1)</f>
        <v>2</v>
      </c>
      <c r="E14" s="117">
        <f>IF(ISERROR(FIND(",",Stage!H39)),VALUE(Stage!H39),(VALUE(LEFT(Stage!H39,FIND(",",Stage!H39)-1))+VALUE(TRIM(MID(Stage!H39,FIND("|",SUBSTITUTE(Stage!H39,",","|",LEN(Stage!H39)-LEN(SUBSTITUTE(Stage!H39,",",""))))+1,100))))/2)</f>
        <v>1</v>
      </c>
      <c r="F14" s="117">
        <f>IF(ISERROR(FIND(",",Stage!I39)),VALUE(Stage!I39),(VALUE(LEFT(Stage!I39,FIND(",",Stage!I39)-1))+VALUE(TRIM(MID(Stage!I39,FIND("|",SUBSTITUTE(Stage!I39,",","|",LEN(Stage!I39)-LEN(SUBSTITUTE(Stage!I39,",",""))))+1,100))))/2)</f>
        <v>0.7</v>
      </c>
      <c r="G14" s="117">
        <f>IF(ISERROR(FIND(",",Stage!J39)),VALUE(Stage!J39),VALUE(LEFT(Stage!J39,FIND(",",Stage!J39)-1)))</f>
        <v>16</v>
      </c>
      <c r="H14" s="117">
        <f>IF(Stage!K39="",0,LEN(TRIM(Stage!K39))-LEN(SUBSTITUTE(TRIM(Stage!K39),",",""))+1)</f>
        <v>3</v>
      </c>
      <c r="I14" s="117">
        <f>Stage!O39+Stage!P39+Stage!N39+Stage!Q39+Stage!M39</f>
        <v>0</v>
      </c>
      <c r="J14" s="117">
        <f>IF(Stage!F39=0,0,I14/Stage!F39)</f>
        <v>0</v>
      </c>
      <c r="K14" s="118">
        <f t="shared" ref="K14:K77" si="0">(MAX(0,MIN(1,(C14-$E$3)/MAX($F$3-$E$3,0.0001)))*$C$3+MAX(0,MIN(1,(D14-$E$4)/MAX($F$4-$E$4,0.0001)))*$C$4+MAX(0,MIN(1,(E14-$E$5)/MAX($F$5-$E$5,0.0001)))*$C$5+(1-MAX(0,MIN(1,(F14-$E$6)/MAX($F$6-$E$6,0.0001))))*$C$6+(1-MAX(0,MIN(1,(G14-$E$7)/MAX($F$7-$E$7,0.0001))))*$C$7+MAX(0,MIN(1,(H14-$E$8)/MAX($F$8-$E$8,0.0001)))*$C$8+MAX(0,MIN(1,(J14-$E$9)/MAX($F$9-$E$9,0.0001)))*$C$9)/$C$10*100</f>
        <v>21.629220233089033</v>
      </c>
      <c r="L14" s="118">
        <f>AVERAGE(K14:K16)</f>
        <v>21.639232648484125</v>
      </c>
      <c r="M14" s="117" t="str">
        <f t="shared" ref="M14:M77" si="1">IF(K14&lt;25,"쉬움",IF(K14&lt;45,"보통",IF(K14&lt;60,"어려움",IF(K14&lt;75,"매우어려움","극악"))))</f>
        <v>쉬움</v>
      </c>
    </row>
    <row r="15" spans="1:13" ht="15.95" customHeight="1" x14ac:dyDescent="0.3">
      <c r="A15" s="119">
        <v>2</v>
      </c>
      <c r="B15" s="119" t="str">
        <f>Stage!C40</f>
        <v>N 002</v>
      </c>
      <c r="C15" s="119">
        <f>Stage!F40</f>
        <v>60</v>
      </c>
      <c r="D15" s="119">
        <f>IF(Stage!G40="",0,LEN(TRIM(Stage!G40))-LEN(SUBSTITUTE(TRIM(Stage!G40),",",""))+1)</f>
        <v>2</v>
      </c>
      <c r="E15" s="119">
        <f>IF(ISERROR(FIND(",",Stage!H40)),VALUE(Stage!H40),(VALUE(LEFT(Stage!H40,FIND(",",Stage!H40)-1))+VALUE(TRIM(MID(Stage!H40,FIND("|",SUBSTITUTE(Stage!H40,",","|",LEN(Stage!H40)-LEN(SUBSTITUTE(Stage!H40,",",""))))+1,100))))/2)</f>
        <v>1</v>
      </c>
      <c r="F15" s="119">
        <f>IF(ISERROR(FIND(",",Stage!I40)),VALUE(Stage!I40),(VALUE(LEFT(Stage!I40,FIND(",",Stage!I40)-1))+VALUE(TRIM(MID(Stage!I40,FIND("|",SUBSTITUTE(Stage!I40,",","|",LEN(Stage!I40)-LEN(SUBSTITUTE(Stage!I40,",",""))))+1,100))))/2)</f>
        <v>0.7</v>
      </c>
      <c r="G15" s="119">
        <f>IF(ISERROR(FIND(",",Stage!J40)),VALUE(Stage!J40),VALUE(LEFT(Stage!J40,FIND(",",Stage!J40)-1)))</f>
        <v>15</v>
      </c>
      <c r="H15" s="119">
        <f>IF(Stage!K40="",0,LEN(TRIM(Stage!K40))-LEN(SUBSTITUTE(TRIM(Stage!K40),",",""))+1)</f>
        <v>3</v>
      </c>
      <c r="I15" s="119">
        <f>Stage!O40+Stage!P40+Stage!N40+Stage!Q40+Stage!M40</f>
        <v>0</v>
      </c>
      <c r="J15" s="119">
        <f>IF(Stage!F40=0,0,I15/Stage!F40)</f>
        <v>0</v>
      </c>
      <c r="K15" s="120">
        <f t="shared" si="0"/>
        <v>21.644238856181669</v>
      </c>
      <c r="L15" s="120">
        <f>AVERAGE(K14:K17)</f>
        <v>21.981406944611322</v>
      </c>
      <c r="M15" s="119" t="str">
        <f t="shared" si="1"/>
        <v>쉬움</v>
      </c>
    </row>
    <row r="16" spans="1:13" ht="15.95" customHeight="1" x14ac:dyDescent="0.3">
      <c r="A16" s="117">
        <v>3</v>
      </c>
      <c r="B16" s="117" t="str">
        <f>Stage!C41</f>
        <v>N 003</v>
      </c>
      <c r="C16" s="117">
        <f>Stage!F41</f>
        <v>60</v>
      </c>
      <c r="D16" s="117">
        <f>IF(Stage!G41="",0,LEN(TRIM(Stage!G41))-LEN(SUBSTITUTE(TRIM(Stage!G41),",",""))+1)</f>
        <v>2</v>
      </c>
      <c r="E16" s="117">
        <f>IF(ISERROR(FIND(",",Stage!H41)),VALUE(Stage!H41),(VALUE(LEFT(Stage!H41,FIND(",",Stage!H41)-1))+VALUE(TRIM(MID(Stage!H41,FIND("|",SUBSTITUTE(Stage!H41,",","|",LEN(Stage!H41)-LEN(SUBSTITUTE(Stage!H41,",",""))))+1,100))))/2)</f>
        <v>1</v>
      </c>
      <c r="F16" s="117">
        <f>IF(ISERROR(FIND(",",Stage!I41)),VALUE(Stage!I41),(VALUE(LEFT(Stage!I41,FIND(",",Stage!I41)-1))+VALUE(TRIM(MID(Stage!I41,FIND("|",SUBSTITUTE(Stage!I41,",","|",LEN(Stage!I41)-LEN(SUBSTITUTE(Stage!I41,",",""))))+1,100))))/2)</f>
        <v>0.7</v>
      </c>
      <c r="G16" s="117">
        <f>IF(ISERROR(FIND(",",Stage!J41)),VALUE(Stage!J41),VALUE(LEFT(Stage!J41,FIND(",",Stage!J41)-1)))</f>
        <v>15</v>
      </c>
      <c r="H16" s="117">
        <f>IF(Stage!K41="",0,LEN(TRIM(Stage!K41))-LEN(SUBSTITUTE(TRIM(Stage!K41),",",""))+1)</f>
        <v>3</v>
      </c>
      <c r="I16" s="117">
        <f>Stage!O41+Stage!P41+Stage!N41+Stage!Q41+Stage!M41</f>
        <v>0</v>
      </c>
      <c r="J16" s="117">
        <f>IF(Stage!F41=0,0,I16/Stage!F41)</f>
        <v>0</v>
      </c>
      <c r="K16" s="118">
        <f t="shared" si="0"/>
        <v>21.644238856181669</v>
      </c>
      <c r="L16" s="118">
        <f t="shared" ref="L16:L79" si="2">AVERAGE(K14:K18)</f>
        <v>21.913973326925394</v>
      </c>
      <c r="M16" s="117" t="str">
        <f t="shared" si="1"/>
        <v>쉬움</v>
      </c>
    </row>
    <row r="17" spans="1:13" ht="15.95" customHeight="1" x14ac:dyDescent="0.3">
      <c r="A17" s="119">
        <v>4</v>
      </c>
      <c r="B17" s="119" t="str">
        <f>Stage!C42</f>
        <v>N 004</v>
      </c>
      <c r="C17" s="119">
        <f>Stage!F42</f>
        <v>70</v>
      </c>
      <c r="D17" s="119">
        <f>IF(Stage!G42="",0,LEN(TRIM(Stage!G42))-LEN(SUBSTITUTE(TRIM(Stage!G42),",",""))+1)</f>
        <v>2</v>
      </c>
      <c r="E17" s="119">
        <f>IF(ISERROR(FIND(",",Stage!H42)),VALUE(Stage!H42),(VALUE(LEFT(Stage!H42,FIND(",",Stage!H42)-1))+VALUE(TRIM(MID(Stage!H42,FIND("|",SUBSTITUTE(Stage!H42,",","|",LEN(Stage!H42)-LEN(SUBSTITUTE(Stage!H42,",",""))))+1,100))))/2)</f>
        <v>1</v>
      </c>
      <c r="F17" s="119">
        <f>IF(ISERROR(FIND(",",Stage!I42)),VALUE(Stage!I42),(VALUE(LEFT(Stage!I42,FIND(",",Stage!I42)-1))+VALUE(TRIM(MID(Stage!I42,FIND("|",SUBSTITUTE(Stage!I42,",","|",LEN(Stage!I42)-LEN(SUBSTITUTE(Stage!I42,",",""))))+1,100))))/2)</f>
        <v>0.6</v>
      </c>
      <c r="G17" s="119">
        <f>IF(ISERROR(FIND(",",Stage!J42)),VALUE(Stage!J42),VALUE(LEFT(Stage!J42,FIND(",",Stage!J42)-1)))</f>
        <v>17</v>
      </c>
      <c r="H17" s="119">
        <f>IF(Stage!K42="",0,LEN(TRIM(Stage!K42))-LEN(SUBSTITUTE(TRIM(Stage!K42),",",""))+1)</f>
        <v>3</v>
      </c>
      <c r="I17" s="119">
        <f>Stage!O42+Stage!P42+Stage!N42+Stage!Q42+Stage!M42</f>
        <v>0</v>
      </c>
      <c r="J17" s="119">
        <f>IF(Stage!F42=0,0,I17/Stage!F42)</f>
        <v>0</v>
      </c>
      <c r="K17" s="120">
        <f t="shared" si="0"/>
        <v>23.007929832992914</v>
      </c>
      <c r="L17" s="120">
        <f t="shared" si="2"/>
        <v>22.010092514718259</v>
      </c>
      <c r="M17" s="119" t="str">
        <f t="shared" si="1"/>
        <v>쉬움</v>
      </c>
    </row>
    <row r="18" spans="1:13" ht="15.95" customHeight="1" x14ac:dyDescent="0.3">
      <c r="A18" s="117">
        <v>5</v>
      </c>
      <c r="B18" s="117" t="str">
        <f>Stage!C43</f>
        <v>N 005</v>
      </c>
      <c r="C18" s="117">
        <f>Stage!F43</f>
        <v>60</v>
      </c>
      <c r="D18" s="117">
        <f>IF(Stage!G43="",0,LEN(TRIM(Stage!G43))-LEN(SUBSTITUTE(TRIM(Stage!G43),",",""))+1)</f>
        <v>2</v>
      </c>
      <c r="E18" s="117">
        <f>IF(ISERROR(FIND(",",Stage!H43)),VALUE(Stage!H43),(VALUE(LEFT(Stage!H43,FIND(",",Stage!H43)-1))+VALUE(TRIM(MID(Stage!H43,FIND("|",SUBSTITUTE(Stage!H43,",","|",LEN(Stage!H43)-LEN(SUBSTITUTE(Stage!H43,",",""))))+1,100))))/2)</f>
        <v>1</v>
      </c>
      <c r="F18" s="117">
        <f>IF(ISERROR(FIND(",",Stage!I43)),VALUE(Stage!I43),(VALUE(LEFT(Stage!I43,FIND(",",Stage!I43)-1))+VALUE(TRIM(MID(Stage!I43,FIND("|",SUBSTITUTE(Stage!I43,",","|",LEN(Stage!I43)-LEN(SUBSTITUTE(Stage!I43,",",""))))+1,100))))/2)</f>
        <v>0.7</v>
      </c>
      <c r="G18" s="117">
        <f>IF(ISERROR(FIND(",",Stage!J43)),VALUE(Stage!J43),VALUE(LEFT(Stage!J43,FIND(",",Stage!J43)-1)))</f>
        <v>15</v>
      </c>
      <c r="H18" s="117">
        <f>IF(Stage!K43="",0,LEN(TRIM(Stage!K43))-LEN(SUBSTITUTE(TRIM(Stage!K43),",",""))+1)</f>
        <v>3</v>
      </c>
      <c r="I18" s="117">
        <f>Stage!O43+Stage!P43+Stage!N43+Stage!Q43+Stage!M43</f>
        <v>0</v>
      </c>
      <c r="J18" s="117">
        <f>IF(Stage!F43=0,0,I18/Stage!F43)</f>
        <v>0</v>
      </c>
      <c r="K18" s="118">
        <f t="shared" si="0"/>
        <v>21.644238856181669</v>
      </c>
      <c r="L18" s="118">
        <f t="shared" si="2"/>
        <v>23.999118907445236</v>
      </c>
      <c r="M18" s="117" t="str">
        <f t="shared" si="1"/>
        <v>쉬움</v>
      </c>
    </row>
    <row r="19" spans="1:13" ht="15.95" customHeight="1" x14ac:dyDescent="0.3">
      <c r="A19" s="119">
        <v>6</v>
      </c>
      <c r="B19" s="119" t="str">
        <f>Stage!C44</f>
        <v>N 006</v>
      </c>
      <c r="C19" s="119">
        <f>Stage!F44</f>
        <v>50</v>
      </c>
      <c r="D19" s="119">
        <f>IF(Stage!G44="",0,LEN(TRIM(Stage!G44))-LEN(SUBSTITUTE(TRIM(Stage!G44),",",""))+1)</f>
        <v>2</v>
      </c>
      <c r="E19" s="119">
        <f>IF(ISERROR(FIND(",",Stage!H44)),VALUE(Stage!H44),(VALUE(LEFT(Stage!H44,FIND(",",Stage!H44)-1))+VALUE(TRIM(MID(Stage!H44,FIND("|",SUBSTITUTE(Stage!H44,",","|",LEN(Stage!H44)-LEN(SUBSTITUTE(Stage!H44,",",""))))+1,100))))/2)</f>
        <v>1</v>
      </c>
      <c r="F19" s="119">
        <f>IF(ISERROR(FIND(",",Stage!I44)),VALUE(Stage!I44),(VALUE(LEFT(Stage!I44,FIND(",",Stage!I44)-1))+VALUE(TRIM(MID(Stage!I44,FIND("|",SUBSTITUTE(Stage!I44,",","|",LEN(Stage!I44)-LEN(SUBSTITUTE(Stage!I44,",",""))))+1,100))))/2)</f>
        <v>0.7</v>
      </c>
      <c r="G19" s="119">
        <f>IF(ISERROR(FIND(",",Stage!J44)),VALUE(Stage!J44),VALUE(LEFT(Stage!J44,FIND(",",Stage!J44)-1)))</f>
        <v>12</v>
      </c>
      <c r="H19" s="119">
        <f>IF(Stage!K44="",0,LEN(TRIM(Stage!K44))-LEN(SUBSTITUTE(TRIM(Stage!K44),",",""))+1)</f>
        <v>3</v>
      </c>
      <c r="I19" s="119">
        <f>Stage!O44+Stage!P44+Stage!N44+Stage!Q44+Stage!M44</f>
        <v>0</v>
      </c>
      <c r="J19" s="119">
        <f>IF(Stage!F44=0,0,I19/Stage!F44)</f>
        <v>0</v>
      </c>
      <c r="K19" s="120">
        <f t="shared" si="0"/>
        <v>22.10981617205335</v>
      </c>
      <c r="L19" s="120">
        <f t="shared" si="2"/>
        <v>25.724418278665553</v>
      </c>
      <c r="M19" s="119" t="str">
        <f t="shared" si="1"/>
        <v>쉬움</v>
      </c>
    </row>
    <row r="20" spans="1:13" ht="15.95" customHeight="1" x14ac:dyDescent="0.3">
      <c r="A20" s="117">
        <v>7</v>
      </c>
      <c r="B20" s="117" t="str">
        <f>Stage!C45</f>
        <v>N 007</v>
      </c>
      <c r="C20" s="117">
        <f>Stage!F45</f>
        <v>115</v>
      </c>
      <c r="D20" s="117">
        <f>IF(Stage!G45="",0,LEN(TRIM(Stage!G45))-LEN(SUBSTITUTE(TRIM(Stage!G45),",",""))+1)</f>
        <v>2</v>
      </c>
      <c r="E20" s="117">
        <f>IF(ISERROR(FIND(",",Stage!H45)),VALUE(Stage!H45),(VALUE(LEFT(Stage!H45,FIND(",",Stage!H45)-1))+VALUE(TRIM(MID(Stage!H45,FIND("|",SUBSTITUTE(Stage!H45,",","|",LEN(Stage!H45)-LEN(SUBSTITUTE(Stage!H45,",",""))))+1,100))))/2)</f>
        <v>2</v>
      </c>
      <c r="F20" s="117">
        <f>IF(ISERROR(FIND(",",Stage!I45)),VALUE(Stage!I45),(VALUE(LEFT(Stage!I45,FIND(",",Stage!I45)-1))+VALUE(TRIM(MID(Stage!I45,FIND("|",SUBSTITUTE(Stage!I45,",","|",LEN(Stage!I45)-LEN(SUBSTITUTE(Stage!I45,",",""))))+1,100))))/2)</f>
        <v>0.5</v>
      </c>
      <c r="G20" s="117">
        <f>IF(ISERROR(FIND(",",Stage!J45)),VALUE(Stage!J45),VALUE(LEFT(Stage!J45,FIND(",",Stage!J45)-1)))</f>
        <v>23</v>
      </c>
      <c r="H20" s="117">
        <f>IF(Stage!K45="",0,LEN(TRIM(Stage!K45))-LEN(SUBSTITUTE(TRIM(Stage!K45),",",""))+1)</f>
        <v>4</v>
      </c>
      <c r="I20" s="117">
        <f>Stage!O45+Stage!P45+Stage!N45+Stage!Q45+Stage!M45</f>
        <v>0</v>
      </c>
      <c r="J20" s="117">
        <f>IF(Stage!F45=0,0,I20/Stage!F45)</f>
        <v>0</v>
      </c>
      <c r="K20" s="118">
        <f t="shared" si="0"/>
        <v>31.589370819816576</v>
      </c>
      <c r="L20" s="118">
        <f t="shared" si="2"/>
        <v>25.54179182185911</v>
      </c>
      <c r="M20" s="117" t="str">
        <f t="shared" si="1"/>
        <v>보통</v>
      </c>
    </row>
    <row r="21" spans="1:13" ht="15.95" customHeight="1" x14ac:dyDescent="0.3">
      <c r="A21" s="119">
        <v>8</v>
      </c>
      <c r="B21" s="119" t="str">
        <f>Stage!C46</f>
        <v>N 008</v>
      </c>
      <c r="C21" s="119">
        <f>Stage!F46</f>
        <v>90</v>
      </c>
      <c r="D21" s="119">
        <f>IF(Stage!G46="",0,LEN(TRIM(Stage!G46))-LEN(SUBSTITUTE(TRIM(Stage!G46),",",""))+1)</f>
        <v>2</v>
      </c>
      <c r="E21" s="119">
        <f>IF(ISERROR(FIND(",",Stage!H46)),VALUE(Stage!H46),(VALUE(LEFT(Stage!H46,FIND(",",Stage!H46)-1))+VALUE(TRIM(MID(Stage!H46,FIND("|",SUBSTITUTE(Stage!H46,",","|",LEN(Stage!H46)-LEN(SUBSTITUTE(Stage!H46,",",""))))+1,100))))/2)</f>
        <v>2</v>
      </c>
      <c r="F21" s="119">
        <f>IF(ISERROR(FIND(",",Stage!I46)),VALUE(Stage!I46),(VALUE(LEFT(Stage!I46,FIND(",",Stage!I46)-1))+VALUE(TRIM(MID(Stage!I46,FIND("|",SUBSTITUTE(Stage!I46,",","|",LEN(Stage!I46)-LEN(SUBSTITUTE(Stage!I46,",",""))))+1,100))))/2)</f>
        <v>0.6</v>
      </c>
      <c r="G21" s="119">
        <f>IF(ISERROR(FIND(",",Stage!J46)),VALUE(Stage!J46),VALUE(LEFT(Stage!J46,FIND(",",Stage!J46)-1)))</f>
        <v>18</v>
      </c>
      <c r="H21" s="119">
        <f>IF(Stage!K46="",0,LEN(TRIM(Stage!K46))-LEN(SUBSTITUTE(TRIM(Stage!K46),",",""))+1)</f>
        <v>4</v>
      </c>
      <c r="I21" s="119">
        <f>Stage!O46+Stage!P46+Stage!N46+Stage!Q46+Stage!M46</f>
        <v>0</v>
      </c>
      <c r="J21" s="119">
        <f>IF(Stage!F46=0,0,I21/Stage!F46)</f>
        <v>0</v>
      </c>
      <c r="K21" s="120">
        <f t="shared" si="0"/>
        <v>30.270735712283237</v>
      </c>
      <c r="L21" s="120">
        <f t="shared" si="2"/>
        <v>25.814530017221358</v>
      </c>
      <c r="M21" s="119" t="str">
        <f t="shared" si="1"/>
        <v>보통</v>
      </c>
    </row>
    <row r="22" spans="1:13" ht="15.95" customHeight="1" x14ac:dyDescent="0.3">
      <c r="A22" s="117">
        <v>9</v>
      </c>
      <c r="B22" s="117" t="str">
        <f>Stage!C47</f>
        <v>N 009</v>
      </c>
      <c r="C22" s="117">
        <f>Stage!F47</f>
        <v>55</v>
      </c>
      <c r="D22" s="117">
        <f>IF(Stage!G47="",0,LEN(TRIM(Stage!G47))-LEN(SUBSTITUTE(TRIM(Stage!G47),",",""))+1)</f>
        <v>2</v>
      </c>
      <c r="E22" s="117">
        <f>IF(ISERROR(FIND(",",Stage!H47)),VALUE(Stage!H47),(VALUE(LEFT(Stage!H47,FIND(",",Stage!H47)-1))+VALUE(TRIM(MID(Stage!H47,FIND("|",SUBSTITUTE(Stage!H47,",","|",LEN(Stage!H47)-LEN(SUBSTITUTE(Stage!H47,",",""))))+1,100))))/2)</f>
        <v>1</v>
      </c>
      <c r="F22" s="117">
        <f>IF(ISERROR(FIND(",",Stage!I47)),VALUE(Stage!I47),(VALUE(LEFT(Stage!I47,FIND(",",Stage!I47)-1))+VALUE(TRIM(MID(Stage!I47,FIND("|",SUBSTITUTE(Stage!I47,",","|",LEN(Stage!I47)-LEN(SUBSTITUTE(Stage!I47,",",""))))+1,100))))/2)</f>
        <v>0.7</v>
      </c>
      <c r="G22" s="117">
        <f>IF(ISERROR(FIND(",",Stage!J47)),VALUE(Stage!J47),VALUE(LEFT(Stage!J47,FIND(",",Stage!J47)-1)))</f>
        <v>13</v>
      </c>
      <c r="H22" s="117">
        <f>IF(Stage!K47="",0,LEN(TRIM(Stage!K47))-LEN(SUBSTITUTE(TRIM(Stage!K47),",",""))+1)</f>
        <v>3</v>
      </c>
      <c r="I22" s="117">
        <f>Stage!O47+Stage!P47+Stage!N47+Stage!Q47+Stage!M47</f>
        <v>0</v>
      </c>
      <c r="J22" s="117">
        <f>IF(Stage!F47=0,0,I22/Stage!F47)</f>
        <v>0</v>
      </c>
      <c r="K22" s="118">
        <f t="shared" si="0"/>
        <v>22.094797548960717</v>
      </c>
      <c r="L22" s="118">
        <f t="shared" si="2"/>
        <v>29.957787656694308</v>
      </c>
      <c r="M22" s="117" t="str">
        <f t="shared" si="1"/>
        <v>쉬움</v>
      </c>
    </row>
    <row r="23" spans="1:13" ht="15.95" customHeight="1" x14ac:dyDescent="0.3">
      <c r="A23" s="119">
        <v>10</v>
      </c>
      <c r="B23" s="119" t="str">
        <f>Stage!C48</f>
        <v>N 010</v>
      </c>
      <c r="C23" s="119">
        <f>Stage!F48</f>
        <v>70</v>
      </c>
      <c r="D23" s="119">
        <f>IF(Stage!G48="",0,LEN(TRIM(Stage!G48))-LEN(SUBSTITUTE(TRIM(Stage!G48),",",""))+1)</f>
        <v>2</v>
      </c>
      <c r="E23" s="119">
        <f>IF(ISERROR(FIND(",",Stage!H48)),VALUE(Stage!H48),(VALUE(LEFT(Stage!H48,FIND(",",Stage!H48)-1))+VALUE(TRIM(MID(Stage!H48,FIND("|",SUBSTITUTE(Stage!H48,",","|",LEN(Stage!H48)-LEN(SUBSTITUTE(Stage!H48,",",""))))+1,100))))/2)</f>
        <v>1</v>
      </c>
      <c r="F23" s="119">
        <f>IF(ISERROR(FIND(",",Stage!I48)),VALUE(Stage!I48),(VALUE(LEFT(Stage!I48,FIND(",",Stage!I48)-1))+VALUE(TRIM(MID(Stage!I48,FIND("|",SUBSTITUTE(Stage!I48,",","|",LEN(Stage!I48)-LEN(SUBSTITUTE(Stage!I48,",",""))))+1,100))))/2)</f>
        <v>0.6</v>
      </c>
      <c r="G23" s="119">
        <f>IF(ISERROR(FIND(",",Stage!J48)),VALUE(Stage!J48),VALUE(LEFT(Stage!J48,FIND(",",Stage!J48)-1)))</f>
        <v>17</v>
      </c>
      <c r="H23" s="119">
        <f>IF(Stage!K48="",0,LEN(TRIM(Stage!K48))-LEN(SUBSTITUTE(TRIM(Stage!K48),",",""))+1)</f>
        <v>3</v>
      </c>
      <c r="I23" s="119">
        <f>Stage!O48+Stage!P48+Stage!N48+Stage!Q48+Stage!M48</f>
        <v>0</v>
      </c>
      <c r="J23" s="119">
        <f>IF(Stage!F48=0,0,I23/Stage!F48)</f>
        <v>0</v>
      </c>
      <c r="K23" s="120">
        <f t="shared" si="0"/>
        <v>23.007929832992914</v>
      </c>
      <c r="L23" s="120">
        <f t="shared" si="2"/>
        <v>30.625015018623095</v>
      </c>
      <c r="M23" s="119" t="str">
        <f t="shared" si="1"/>
        <v>쉬움</v>
      </c>
    </row>
    <row r="24" spans="1:13" ht="15.95" customHeight="1" x14ac:dyDescent="0.3">
      <c r="A24" s="117">
        <v>11</v>
      </c>
      <c r="B24" s="117" t="str">
        <f>Stage!C49</f>
        <v>N 011</v>
      </c>
      <c r="C24" s="117">
        <f>Stage!F49</f>
        <v>175</v>
      </c>
      <c r="D24" s="117">
        <f>IF(Stage!G49="",0,LEN(TRIM(Stage!G49))-LEN(SUBSTITUTE(TRIM(Stage!G49),",",""))+1)</f>
        <v>2</v>
      </c>
      <c r="E24" s="117">
        <f>IF(ISERROR(FIND(",",Stage!H49)),VALUE(Stage!H49),(VALUE(LEFT(Stage!H49,FIND(",",Stage!H49)-1))+VALUE(TRIM(MID(Stage!H49,FIND("|",SUBSTITUTE(Stage!H49,",","|",LEN(Stage!H49)-LEN(SUBSTITUTE(Stage!H49,",",""))))+1,100))))/2)</f>
        <v>3</v>
      </c>
      <c r="F24" s="117">
        <f>IF(ISERROR(FIND(",",Stage!I49)),VALUE(Stage!I49),(VALUE(LEFT(Stage!I49,FIND(",",Stage!I49)-1))+VALUE(TRIM(MID(Stage!I49,FIND("|",SUBSTITUTE(Stage!I49,",","|",LEN(Stage!I49)-LEN(SUBSTITUTE(Stage!I49,",",""))))+1,100))))/2)</f>
        <v>0.3</v>
      </c>
      <c r="G24" s="117">
        <f>IF(ISERROR(FIND(",",Stage!J49)),VALUE(Stage!J49),VALUE(LEFT(Stage!J49,FIND(",",Stage!J49)-1)))</f>
        <v>29</v>
      </c>
      <c r="H24" s="117">
        <f>IF(Stage!K49="",0,LEN(TRIM(Stage!K49))-LEN(SUBSTITUTE(TRIM(Stage!K49),",",""))+1)</f>
        <v>5</v>
      </c>
      <c r="I24" s="117">
        <f>Stage!O49+Stage!P49+Stage!N49+Stage!Q49+Stage!M49</f>
        <v>0</v>
      </c>
      <c r="J24" s="117">
        <f>IF(Stage!F49=0,0,I24/Stage!F49)</f>
        <v>0</v>
      </c>
      <c r="K24" s="118">
        <f t="shared" si="0"/>
        <v>42.826104369418083</v>
      </c>
      <c r="L24" s="118">
        <f t="shared" si="2"/>
        <v>29.892346509671995</v>
      </c>
      <c r="M24" s="117" t="str">
        <f t="shared" si="1"/>
        <v>보통</v>
      </c>
    </row>
    <row r="25" spans="1:13" ht="15.95" customHeight="1" x14ac:dyDescent="0.3">
      <c r="A25" s="119">
        <v>12</v>
      </c>
      <c r="B25" s="119" t="str">
        <f>Stage!C50</f>
        <v>N 012</v>
      </c>
      <c r="C25" s="119">
        <f>Stage!F50</f>
        <v>145</v>
      </c>
      <c r="D25" s="119">
        <f>IF(Stage!G50="",0,LEN(TRIM(Stage!G50))-LEN(SUBSTITUTE(TRIM(Stage!G50),",",""))+1)</f>
        <v>2</v>
      </c>
      <c r="E25" s="119">
        <f>IF(ISERROR(FIND(",",Stage!H50)),VALUE(Stage!H50),(VALUE(LEFT(Stage!H50,FIND(",",Stage!H50)-1))+VALUE(TRIM(MID(Stage!H50,FIND("|",SUBSTITUTE(Stage!H50,",","|",LEN(Stage!H50)-LEN(SUBSTITUTE(Stage!H50,",",""))))+1,100))))/2)</f>
        <v>2.5</v>
      </c>
      <c r="F25" s="119">
        <f>IF(ISERROR(FIND(",",Stage!I50)),VALUE(Stage!I50),(VALUE(LEFT(Stage!I50,FIND(",",Stage!I50)-1))+VALUE(TRIM(MID(Stage!I50,FIND("|",SUBSTITUTE(Stage!I50,",","|",LEN(Stage!I50)-LEN(SUBSTITUTE(Stage!I50,",",""))))+1,100))))/2)</f>
        <v>0.4</v>
      </c>
      <c r="G25" s="119">
        <f>IF(ISERROR(FIND(",",Stage!J50)),VALUE(Stage!J50),VALUE(LEFT(Stage!J50,FIND(",",Stage!J50)-1)))</f>
        <v>29</v>
      </c>
      <c r="H25" s="119">
        <f>IF(Stage!K50="",0,LEN(TRIM(Stage!K50))-LEN(SUBSTITUTE(TRIM(Stage!K50),",",""))+1)</f>
        <v>4</v>
      </c>
      <c r="I25" s="119">
        <f>Stage!O50+Stage!P50+Stage!N50+Stage!Q50+Stage!M50</f>
        <v>0</v>
      </c>
      <c r="J25" s="119">
        <f>IF(Stage!F50=0,0,I25/Stage!F50)</f>
        <v>0</v>
      </c>
      <c r="K25" s="120">
        <f t="shared" si="0"/>
        <v>34.925507629460533</v>
      </c>
      <c r="L25" s="120">
        <f t="shared" si="2"/>
        <v>30.077976691096961</v>
      </c>
      <c r="M25" s="119" t="str">
        <f t="shared" si="1"/>
        <v>보통</v>
      </c>
    </row>
    <row r="26" spans="1:13" ht="15.95" customHeight="1" x14ac:dyDescent="0.3">
      <c r="A26" s="117">
        <v>13</v>
      </c>
      <c r="B26" s="117" t="str">
        <f>Stage!C51</f>
        <v>N 013</v>
      </c>
      <c r="C26" s="117">
        <f>Stage!F51</f>
        <v>80</v>
      </c>
      <c r="D26" s="117">
        <f>IF(Stage!G51="",0,LEN(TRIM(Stage!G51))-LEN(SUBSTITUTE(TRIM(Stage!G51),",",""))+1)</f>
        <v>2</v>
      </c>
      <c r="E26" s="117">
        <f>IF(ISERROR(FIND(",",Stage!H51)),VALUE(Stage!H51),(VALUE(LEFT(Stage!H51,FIND(",",Stage!H51)-1))+VALUE(TRIM(MID(Stage!H51,FIND("|",SUBSTITUTE(Stage!H51,",","|",LEN(Stage!H51)-LEN(SUBSTITUTE(Stage!H51,",",""))))+1,100))))/2)</f>
        <v>2</v>
      </c>
      <c r="F26" s="117">
        <f>IF(ISERROR(FIND(",",Stage!I51)),VALUE(Stage!I51),(VALUE(LEFT(Stage!I51,FIND(",",Stage!I51)-1))+VALUE(TRIM(MID(Stage!I51,FIND("|",SUBSTITUTE(Stage!I51,",","|",LEN(Stage!I51)-LEN(SUBSTITUTE(Stage!I51,",",""))))+1,100))))/2)</f>
        <v>0.6</v>
      </c>
      <c r="G26" s="117">
        <f>IF(ISERROR(FIND(",",Stage!J51)),VALUE(Stage!J51),VALUE(LEFT(Stage!J51,FIND(",",Stage!J51)-1)))</f>
        <v>20</v>
      </c>
      <c r="H26" s="117">
        <f>IF(Stage!K51="",0,LEN(TRIM(Stage!K51))-LEN(SUBSTITUTE(TRIM(Stage!K51),",",""))+1)</f>
        <v>3</v>
      </c>
      <c r="I26" s="117">
        <f>Stage!O51+Stage!P51+Stage!N51+Stage!Q51+Stage!M51</f>
        <v>0</v>
      </c>
      <c r="J26" s="117">
        <f>IF(Stage!F51=0,0,I26/Stage!F51)</f>
        <v>0</v>
      </c>
      <c r="K26" s="118">
        <f t="shared" si="0"/>
        <v>26.607393167527732</v>
      </c>
      <c r="L26" s="118">
        <f t="shared" si="2"/>
        <v>29.895350234290522</v>
      </c>
      <c r="M26" s="117" t="str">
        <f t="shared" si="1"/>
        <v>보통</v>
      </c>
    </row>
    <row r="27" spans="1:13" ht="15.95" customHeight="1" x14ac:dyDescent="0.3">
      <c r="A27" s="119">
        <v>14</v>
      </c>
      <c r="B27" s="119" t="str">
        <f>Stage!C52</f>
        <v>N 014</v>
      </c>
      <c r="C27" s="119">
        <f>Stage!F52</f>
        <v>65</v>
      </c>
      <c r="D27" s="119">
        <f>IF(Stage!G52="",0,LEN(TRIM(Stage!G52))-LEN(SUBSTITUTE(TRIM(Stage!G52),",",""))+1)</f>
        <v>2</v>
      </c>
      <c r="E27" s="119">
        <f>IF(ISERROR(FIND(",",Stage!H52)),VALUE(Stage!H52),(VALUE(LEFT(Stage!H52,FIND(",",Stage!H52)-1))+VALUE(TRIM(MID(Stage!H52,FIND("|",SUBSTITUTE(Stage!H52,",","|",LEN(Stage!H52)-LEN(SUBSTITUTE(Stage!H52,",",""))))+1,100))))/2)</f>
        <v>1</v>
      </c>
      <c r="F27" s="119">
        <f>IF(ISERROR(FIND(",",Stage!I52)),VALUE(Stage!I52),(VALUE(LEFT(Stage!I52,FIND(",",Stage!I52)-1))+VALUE(TRIM(MID(Stage!I52,FIND("|",SUBSTITUTE(Stage!I52,",","|",LEN(Stage!I52)-LEN(SUBSTITUTE(Stage!I52,",",""))))+1,100))))/2)</f>
        <v>0.6</v>
      </c>
      <c r="G27" s="119">
        <f>IF(ISERROR(FIND(",",Stage!J52)),VALUE(Stage!J52),VALUE(LEFT(Stage!J52,FIND(",",Stage!J52)-1)))</f>
        <v>16</v>
      </c>
      <c r="H27" s="119">
        <f>IF(Stage!K52="",0,LEN(TRIM(Stage!K52))-LEN(SUBSTITUTE(TRIM(Stage!K52),",",""))+1)</f>
        <v>3</v>
      </c>
      <c r="I27" s="119">
        <f>Stage!O52+Stage!P52+Stage!N52+Stage!Q52+Stage!M52</f>
        <v>0</v>
      </c>
      <c r="J27" s="119">
        <f>IF(Stage!F52=0,0,I27/Stage!F52)</f>
        <v>0</v>
      </c>
      <c r="K27" s="120">
        <f t="shared" si="0"/>
        <v>23.022948456085548</v>
      </c>
      <c r="L27" s="120">
        <f t="shared" si="2"/>
        <v>27.38728022748208</v>
      </c>
      <c r="M27" s="119" t="str">
        <f t="shared" si="1"/>
        <v>쉬움</v>
      </c>
    </row>
    <row r="28" spans="1:13" ht="15.95" customHeight="1" x14ac:dyDescent="0.3">
      <c r="A28" s="117">
        <v>15</v>
      </c>
      <c r="B28" s="117" t="str">
        <f>Stage!C53</f>
        <v>N 015</v>
      </c>
      <c r="C28" s="117">
        <f>Stage!F53</f>
        <v>55</v>
      </c>
      <c r="D28" s="117">
        <f>IF(Stage!G53="",0,LEN(TRIM(Stage!G53))-LEN(SUBSTITUTE(TRIM(Stage!G53),",",""))+1)</f>
        <v>2</v>
      </c>
      <c r="E28" s="117">
        <f>IF(ISERROR(FIND(",",Stage!H53)),VALUE(Stage!H53),(VALUE(LEFT(Stage!H53,FIND(",",Stage!H53)-1))+VALUE(TRIM(MID(Stage!H53,FIND("|",SUBSTITUTE(Stage!H53,",","|",LEN(Stage!H53)-LEN(SUBSTITUTE(Stage!H53,",",""))))+1,100))))/2)</f>
        <v>1</v>
      </c>
      <c r="F28" s="117">
        <f>IF(ISERROR(FIND(",",Stage!I53)),VALUE(Stage!I53),(VALUE(LEFT(Stage!I53,FIND(",",Stage!I53)-1))+VALUE(TRIM(MID(Stage!I53,FIND("|",SUBSTITUTE(Stage!I53,",","|",LEN(Stage!I53)-LEN(SUBSTITUTE(Stage!I53,",",""))))+1,100))))/2)</f>
        <v>0.7</v>
      </c>
      <c r="G28" s="117">
        <f>IF(ISERROR(FIND(",",Stage!J53)),VALUE(Stage!J53),VALUE(LEFT(Stage!J53,FIND(",",Stage!J53)-1)))</f>
        <v>13</v>
      </c>
      <c r="H28" s="117">
        <f>IF(Stage!K53="",0,LEN(TRIM(Stage!K53))-LEN(SUBSTITUTE(TRIM(Stage!K53),",",""))+1)</f>
        <v>3</v>
      </c>
      <c r="I28" s="117">
        <f>Stage!O53+Stage!P53+Stage!N53+Stage!Q53+Stage!M53</f>
        <v>0</v>
      </c>
      <c r="J28" s="117">
        <f>IF(Stage!F53=0,0,I28/Stage!F53)</f>
        <v>0</v>
      </c>
      <c r="K28" s="118">
        <f t="shared" si="0"/>
        <v>22.094797548960717</v>
      </c>
      <c r="L28" s="118">
        <f t="shared" si="2"/>
        <v>27.387280227482073</v>
      </c>
      <c r="M28" s="117" t="str">
        <f t="shared" si="1"/>
        <v>쉬움</v>
      </c>
    </row>
    <row r="29" spans="1:13" ht="15.95" customHeight="1" x14ac:dyDescent="0.3">
      <c r="A29" s="119">
        <v>16</v>
      </c>
      <c r="B29" s="119" t="str">
        <f>Stage!C54</f>
        <v>N 016</v>
      </c>
      <c r="C29" s="119">
        <f>Stage!F54</f>
        <v>85</v>
      </c>
      <c r="D29" s="119">
        <f>IF(Stage!G54="",0,LEN(TRIM(Stage!G54))-LEN(SUBSTITUTE(TRIM(Stage!G54),",",""))+1)</f>
        <v>2</v>
      </c>
      <c r="E29" s="119">
        <f>IF(ISERROR(FIND(",",Stage!H54)),VALUE(Stage!H54),(VALUE(LEFT(Stage!H54,FIND(",",Stage!H54)-1))+VALUE(TRIM(MID(Stage!H54,FIND("|",SUBSTITUTE(Stage!H54,",","|",LEN(Stage!H54)-LEN(SUBSTITUTE(Stage!H54,",",""))))+1,100))))/2)</f>
        <v>2</v>
      </c>
      <c r="F29" s="119">
        <f>IF(ISERROR(FIND(",",Stage!I54)),VALUE(Stage!I54),(VALUE(LEFT(Stage!I54,FIND(",",Stage!I54)-1))+VALUE(TRIM(MID(Stage!I54,FIND("|",SUBSTITUTE(Stage!I54,",","|",LEN(Stage!I54)-LEN(SUBSTITUTE(Stage!I54,",",""))))+1,100))))/2)</f>
        <v>0.6</v>
      </c>
      <c r="G29" s="119">
        <f>IF(ISERROR(FIND(",",Stage!J54)),VALUE(Stage!J54),VALUE(LEFT(Stage!J54,FIND(",",Stage!J54)-1)))</f>
        <v>17</v>
      </c>
      <c r="H29" s="119">
        <f>IF(Stage!K54="",0,LEN(TRIM(Stage!K54))-LEN(SUBSTITUTE(TRIM(Stage!K54),",",""))+1)</f>
        <v>4</v>
      </c>
      <c r="I29" s="119">
        <f>Stage!O54+Stage!P54+Stage!N54+Stage!Q54+Stage!M54</f>
        <v>0</v>
      </c>
      <c r="J29" s="119">
        <f>IF(Stage!F54=0,0,I29/Stage!F54)</f>
        <v>0</v>
      </c>
      <c r="K29" s="120">
        <f t="shared" si="0"/>
        <v>30.285754335375863</v>
      </c>
      <c r="L29" s="120">
        <f t="shared" si="2"/>
        <v>29.9577876566943</v>
      </c>
      <c r="M29" s="119" t="str">
        <f t="shared" si="1"/>
        <v>보통</v>
      </c>
    </row>
    <row r="30" spans="1:13" ht="15.95" customHeight="1" x14ac:dyDescent="0.3">
      <c r="A30" s="117">
        <v>17</v>
      </c>
      <c r="B30" s="117" t="str">
        <f>Stage!C55</f>
        <v>N 017</v>
      </c>
      <c r="C30" s="117">
        <f>Stage!F55</f>
        <v>145</v>
      </c>
      <c r="D30" s="117">
        <f>IF(Stage!G55="",0,LEN(TRIM(Stage!G55))-LEN(SUBSTITUTE(TRIM(Stage!G55),",",""))+1)</f>
        <v>2</v>
      </c>
      <c r="E30" s="117">
        <f>IF(ISERROR(FIND(",",Stage!H55)),VALUE(Stage!H55),(VALUE(LEFT(Stage!H55,FIND(",",Stage!H55)-1))+VALUE(TRIM(MID(Stage!H55,FIND("|",SUBSTITUTE(Stage!H55,",","|",LEN(Stage!H55)-LEN(SUBSTITUTE(Stage!H55,",",""))))+1,100))))/2)</f>
        <v>2.5</v>
      </c>
      <c r="F30" s="117">
        <f>IF(ISERROR(FIND(",",Stage!I55)),VALUE(Stage!I55),(VALUE(LEFT(Stage!I55,FIND(",",Stage!I55)-1))+VALUE(TRIM(MID(Stage!I55,FIND("|",SUBSTITUTE(Stage!I55,",","|",LEN(Stage!I55)-LEN(SUBSTITUTE(Stage!I55,",",""))))+1,100))))/2)</f>
        <v>0.4</v>
      </c>
      <c r="G30" s="117">
        <f>IF(ISERROR(FIND(",",Stage!J55)),VALUE(Stage!J55),VALUE(LEFT(Stage!J55,FIND(",",Stage!J55)-1)))</f>
        <v>29</v>
      </c>
      <c r="H30" s="117">
        <f>IF(Stage!K55="",0,LEN(TRIM(Stage!K55))-LEN(SUBSTITUTE(TRIM(Stage!K55),",",""))+1)</f>
        <v>4</v>
      </c>
      <c r="I30" s="117">
        <f>Stage!O55+Stage!P55+Stage!N55+Stage!Q55+Stage!M55</f>
        <v>0</v>
      </c>
      <c r="J30" s="117">
        <f>IF(Stage!F55=0,0,I30/Stage!F55)</f>
        <v>0</v>
      </c>
      <c r="K30" s="118">
        <f t="shared" si="0"/>
        <v>34.925507629460533</v>
      </c>
      <c r="L30" s="118">
        <f t="shared" si="2"/>
        <v>32.347310665224882</v>
      </c>
      <c r="M30" s="117" t="str">
        <f t="shared" si="1"/>
        <v>보통</v>
      </c>
    </row>
    <row r="31" spans="1:13" ht="15.95" customHeight="1" x14ac:dyDescent="0.3">
      <c r="A31" s="119">
        <v>18</v>
      </c>
      <c r="B31" s="119" t="str">
        <f>Stage!C56</f>
        <v>N 018</v>
      </c>
      <c r="C31" s="119">
        <f>Stage!F56</f>
        <v>155</v>
      </c>
      <c r="D31" s="119">
        <f>IF(Stage!G56="",0,LEN(TRIM(Stage!G56))-LEN(SUBSTITUTE(TRIM(Stage!G56),",",""))+1)</f>
        <v>2</v>
      </c>
      <c r="E31" s="119">
        <f>IF(ISERROR(FIND(",",Stage!H56)),VALUE(Stage!H56),(VALUE(LEFT(Stage!H56,FIND(",",Stage!H56)-1))+VALUE(TRIM(MID(Stage!H56,FIND("|",SUBSTITUTE(Stage!H56,",","|",LEN(Stage!H56)-LEN(SUBSTITUTE(Stage!H56,",",""))))+1,100))))/2)</f>
        <v>2.5</v>
      </c>
      <c r="F31" s="119">
        <f>IF(ISERROR(FIND(",",Stage!I56)),VALUE(Stage!I56),(VALUE(LEFT(Stage!I56,FIND(",",Stage!I56)-1))+VALUE(TRIM(MID(Stage!I56,FIND("|",SUBSTITUTE(Stage!I56,",","|",LEN(Stage!I56)-LEN(SUBSTITUTE(Stage!I56,",",""))))+1,100))))/2)</f>
        <v>0.4</v>
      </c>
      <c r="G31" s="119">
        <f>IF(ISERROR(FIND(",",Stage!J56)),VALUE(Stage!J56),VALUE(LEFT(Stage!J56,FIND(",",Stage!J56)-1)))</f>
        <v>25</v>
      </c>
      <c r="H31" s="119">
        <f>IF(Stage!K56="",0,LEN(TRIM(Stage!K56))-LEN(SUBSTITUTE(TRIM(Stage!K56),",",""))+1)</f>
        <v>5</v>
      </c>
      <c r="I31" s="119">
        <f>Stage!O56+Stage!P56+Stage!N56+Stage!Q56+Stage!M56</f>
        <v>0</v>
      </c>
      <c r="J31" s="119">
        <f>IF(Stage!F56=0,0,I31/Stage!F56)</f>
        <v>0</v>
      </c>
      <c r="K31" s="120">
        <f t="shared" si="0"/>
        <v>39.459930313588849</v>
      </c>
      <c r="L31" s="120">
        <f t="shared" si="2"/>
        <v>34.246225319396054</v>
      </c>
      <c r="M31" s="119" t="str">
        <f t="shared" si="1"/>
        <v>보통</v>
      </c>
    </row>
    <row r="32" spans="1:13" ht="15.95" customHeight="1" x14ac:dyDescent="0.3">
      <c r="A32" s="117">
        <v>19</v>
      </c>
      <c r="B32" s="117" t="str">
        <f>Stage!C57</f>
        <v>N 019</v>
      </c>
      <c r="C32" s="117">
        <f>Stage!F57</f>
        <v>130</v>
      </c>
      <c r="D32" s="117">
        <f>IF(Stage!G57="",0,LEN(TRIM(Stage!G57))-LEN(SUBSTITUTE(TRIM(Stage!G57),",",""))+1)</f>
        <v>2</v>
      </c>
      <c r="E32" s="117">
        <f>IF(ISERROR(FIND(",",Stage!H57)),VALUE(Stage!H57),(VALUE(LEFT(Stage!H57,FIND(",",Stage!H57)-1))+VALUE(TRIM(MID(Stage!H57,FIND("|",SUBSTITUTE(Stage!H57,",","|",LEN(Stage!H57)-LEN(SUBSTITUTE(Stage!H57,",",""))))+1,100))))/2)</f>
        <v>2.5</v>
      </c>
      <c r="F32" s="117">
        <f>IF(ISERROR(FIND(",",Stage!I57)),VALUE(Stage!I57),(VALUE(LEFT(Stage!I57,FIND(",",Stage!I57)-1))+VALUE(TRIM(MID(Stage!I57,FIND("|",SUBSTITUTE(Stage!I57,",","|",LEN(Stage!I57)-LEN(SUBSTITUTE(Stage!I57,",",""))))+1,100))))/2)</f>
        <v>0.4</v>
      </c>
      <c r="G32" s="117">
        <f>IF(ISERROR(FIND(",",Stage!J57)),VALUE(Stage!J57),VALUE(LEFT(Stage!J57,FIND(",",Stage!J57)-1)))</f>
        <v>26</v>
      </c>
      <c r="H32" s="117">
        <f>IF(Stage!K57="",0,LEN(TRIM(Stage!K57))-LEN(SUBSTITUTE(TRIM(Stage!K57),",",""))+1)</f>
        <v>4</v>
      </c>
      <c r="I32" s="117">
        <f>Stage!O57+Stage!P57+Stage!N57+Stage!Q57+Stage!M57</f>
        <v>0</v>
      </c>
      <c r="J32" s="117">
        <f>IF(Stage!F57=0,0,I32/Stage!F57)</f>
        <v>0</v>
      </c>
      <c r="K32" s="118">
        <f t="shared" si="0"/>
        <v>34.970563498738436</v>
      </c>
      <c r="L32" s="118">
        <f t="shared" si="2"/>
        <v>37.623813528775678</v>
      </c>
      <c r="M32" s="117" t="str">
        <f t="shared" si="1"/>
        <v>보통</v>
      </c>
    </row>
    <row r="33" spans="1:13" ht="15.95" customHeight="1" x14ac:dyDescent="0.3">
      <c r="A33" s="119">
        <v>20</v>
      </c>
      <c r="B33" s="119" t="str">
        <f>Stage!C58</f>
        <v>N 020</v>
      </c>
      <c r="C33" s="119">
        <f>Stage!F58</f>
        <v>115</v>
      </c>
      <c r="D33" s="119">
        <f>IF(Stage!G58="",0,LEN(TRIM(Stage!G58))-LEN(SUBSTITUTE(TRIM(Stage!G58),",",""))+1)</f>
        <v>2</v>
      </c>
      <c r="E33" s="119">
        <f>IF(ISERROR(FIND(",",Stage!H58)),VALUE(Stage!H58),(VALUE(LEFT(Stage!H58,FIND(",",Stage!H58)-1))+VALUE(TRIM(MID(Stage!H58,FIND("|",SUBSTITUTE(Stage!H58,",","|",LEN(Stage!H58)-LEN(SUBSTITUTE(Stage!H58,",",""))))+1,100))))/2)</f>
        <v>2</v>
      </c>
      <c r="F33" s="119">
        <f>IF(ISERROR(FIND(",",Stage!I58)),VALUE(Stage!I58),(VALUE(LEFT(Stage!I58,FIND(",",Stage!I58)-1))+VALUE(TRIM(MID(Stage!I58,FIND("|",SUBSTITUTE(Stage!I58,",","|",LEN(Stage!I58)-LEN(SUBSTITUTE(Stage!I58,",",""))))+1,100))))/2)</f>
        <v>0.5</v>
      </c>
      <c r="G33" s="119">
        <f>IF(ISERROR(FIND(",",Stage!J58)),VALUE(Stage!J58),VALUE(LEFT(Stage!J58,FIND(",",Stage!J58)-1)))</f>
        <v>23</v>
      </c>
      <c r="H33" s="119">
        <f>IF(Stage!K58="",0,LEN(TRIM(Stage!K58))-LEN(SUBSTITUTE(TRIM(Stage!K58),",",""))+1)</f>
        <v>4</v>
      </c>
      <c r="I33" s="119">
        <f>Stage!O58+Stage!P58+Stage!N58+Stage!Q58+Stage!M58</f>
        <v>0</v>
      </c>
      <c r="J33" s="119">
        <f>IF(Stage!F58=0,0,I33/Stage!F58)</f>
        <v>0</v>
      </c>
      <c r="K33" s="120">
        <f t="shared" si="0"/>
        <v>31.589370819816576</v>
      </c>
      <c r="L33" s="120">
        <f t="shared" si="2"/>
        <v>39.458288277464057</v>
      </c>
      <c r="M33" s="119" t="str">
        <f t="shared" si="1"/>
        <v>보통</v>
      </c>
    </row>
    <row r="34" spans="1:13" ht="15.95" customHeight="1" x14ac:dyDescent="0.3">
      <c r="A34" s="117">
        <v>21</v>
      </c>
      <c r="B34" s="117" t="str">
        <f>Stage!C59</f>
        <v>N 021</v>
      </c>
      <c r="C34" s="117">
        <f>Stage!F59</f>
        <v>195</v>
      </c>
      <c r="D34" s="117">
        <f>IF(Stage!G59="",0,LEN(TRIM(Stage!G59))-LEN(SUBSTITUTE(TRIM(Stage!G59),",",""))+1)</f>
        <v>3</v>
      </c>
      <c r="E34" s="117">
        <f>IF(ISERROR(FIND(",",Stage!H59)),VALUE(Stage!H59),(VALUE(LEFT(Stage!H59,FIND(",",Stage!H59)-1))+VALUE(TRIM(MID(Stage!H59,FIND("|",SUBSTITUTE(Stage!H59,",","|",LEN(Stage!H59)-LEN(SUBSTITUTE(Stage!H59,",",""))))+1,100))))/2)</f>
        <v>3</v>
      </c>
      <c r="F34" s="117">
        <f>IF(ISERROR(FIND(",",Stage!I59)),VALUE(Stage!I59),(VALUE(LEFT(Stage!I59,FIND(",",Stage!I59)-1))+VALUE(TRIM(MID(Stage!I59,FIND("|",SUBSTITUTE(Stage!I59,",","|",LEN(Stage!I59)-LEN(SUBSTITUTE(Stage!I59,",",""))))+1,100))))/2)</f>
        <v>0.2</v>
      </c>
      <c r="G34" s="117">
        <f>IF(ISERROR(FIND(",",Stage!J59)),VALUE(Stage!J59),VALUE(LEFT(Stage!J59,FIND(",",Stage!J59)-1)))</f>
        <v>39</v>
      </c>
      <c r="H34" s="117">
        <f>IF(Stage!K59="",0,LEN(TRIM(Stage!K59))-LEN(SUBSTITUTE(TRIM(Stage!K59),",",""))+1)</f>
        <v>4</v>
      </c>
      <c r="I34" s="117">
        <f>Stage!O59+Stage!P59+Stage!N59+Stage!Q59+Stage!M59</f>
        <v>0</v>
      </c>
      <c r="J34" s="117">
        <f>IF(Stage!F59=0,0,I34/Stage!F59)</f>
        <v>0</v>
      </c>
      <c r="K34" s="118">
        <f t="shared" si="0"/>
        <v>47.173695382274012</v>
      </c>
      <c r="L34" s="118">
        <f t="shared" si="2"/>
        <v>37.620449357202929</v>
      </c>
      <c r="M34" s="117" t="str">
        <f t="shared" si="1"/>
        <v>어려움</v>
      </c>
    </row>
    <row r="35" spans="1:13" ht="15.95" customHeight="1" x14ac:dyDescent="0.3">
      <c r="A35" s="119">
        <v>22</v>
      </c>
      <c r="B35" s="119" t="str">
        <f>Stage!C60</f>
        <v>N 022</v>
      </c>
      <c r="C35" s="119">
        <f>Stage!F60</f>
        <v>175</v>
      </c>
      <c r="D35" s="119">
        <f>IF(Stage!G60="",0,LEN(TRIM(Stage!G60))-LEN(SUBSTITUTE(TRIM(Stage!G60),",",""))+1)</f>
        <v>3</v>
      </c>
      <c r="E35" s="119">
        <f>IF(ISERROR(FIND(",",Stage!H60)),VALUE(Stage!H60),(VALUE(LEFT(Stage!H60,FIND(",",Stage!H60)-1))+VALUE(TRIM(MID(Stage!H60,FIND("|",SUBSTITUTE(Stage!H60,",","|",LEN(Stage!H60)-LEN(SUBSTITUTE(Stage!H60,",",""))))+1,100))))/2)</f>
        <v>3</v>
      </c>
      <c r="F35" s="119">
        <f>IF(ISERROR(FIND(",",Stage!I60)),VALUE(Stage!I60),(VALUE(LEFT(Stage!I60,FIND(",",Stage!I60)-1))+VALUE(TRIM(MID(Stage!I60,FIND("|",SUBSTITUTE(Stage!I60,",","|",LEN(Stage!I60)-LEN(SUBSTITUTE(Stage!I60,",",""))))+1,100))))/2)</f>
        <v>0.3</v>
      </c>
      <c r="G35" s="119">
        <f>IF(ISERROR(FIND(",",Stage!J60)),VALUE(Stage!J60),VALUE(LEFT(Stage!J60,FIND(",",Stage!J60)-1)))</f>
        <v>35</v>
      </c>
      <c r="H35" s="119">
        <f>IF(Stage!K60="",0,LEN(TRIM(Stage!K60))-LEN(SUBSTITUTE(TRIM(Stage!K60),",",""))+1)</f>
        <v>4</v>
      </c>
      <c r="I35" s="119">
        <f>Stage!O60+Stage!P60+Stage!N60+Stage!Q60+Stage!M60</f>
        <v>0</v>
      </c>
      <c r="J35" s="119">
        <f>IF(Stage!F60=0,0,I35/Stage!F60)</f>
        <v>0</v>
      </c>
      <c r="K35" s="120">
        <f t="shared" si="0"/>
        <v>44.0978813729024</v>
      </c>
      <c r="L35" s="120">
        <f t="shared" si="2"/>
        <v>38.340141775801996</v>
      </c>
      <c r="M35" s="119" t="str">
        <f t="shared" si="1"/>
        <v>보통</v>
      </c>
    </row>
    <row r="36" spans="1:13" ht="15.95" customHeight="1" x14ac:dyDescent="0.3">
      <c r="A36" s="117">
        <v>23</v>
      </c>
      <c r="B36" s="117" t="str">
        <f>Stage!C61</f>
        <v>N 023</v>
      </c>
      <c r="C36" s="117">
        <f>Stage!F61</f>
        <v>90</v>
      </c>
      <c r="D36" s="117">
        <f>IF(Stage!G61="",0,LEN(TRIM(Stage!G61))-LEN(SUBSTITUTE(TRIM(Stage!G61),",",""))+1)</f>
        <v>2</v>
      </c>
      <c r="E36" s="117">
        <f>IF(ISERROR(FIND(",",Stage!H61)),VALUE(Stage!H61),(VALUE(LEFT(Stage!H61,FIND(",",Stage!H61)-1))+VALUE(TRIM(MID(Stage!H61,FIND("|",SUBSTITUTE(Stage!H61,",","|",LEN(Stage!H61)-LEN(SUBSTITUTE(Stage!H61,",",""))))+1,100))))/2)</f>
        <v>2</v>
      </c>
      <c r="F36" s="117">
        <f>IF(ISERROR(FIND(",",Stage!I61)),VALUE(Stage!I61),(VALUE(LEFT(Stage!I61,FIND(",",Stage!I61)-1))+VALUE(TRIM(MID(Stage!I61,FIND("|",SUBSTITUTE(Stage!I61,",","|",LEN(Stage!I61)-LEN(SUBSTITUTE(Stage!I61,",",""))))+1,100))))/2)</f>
        <v>0.6</v>
      </c>
      <c r="G36" s="117">
        <f>IF(ISERROR(FIND(",",Stage!J61)),VALUE(Stage!J61),VALUE(LEFT(Stage!J61,FIND(",",Stage!J61)-1)))</f>
        <v>18</v>
      </c>
      <c r="H36" s="117">
        <f>IF(Stage!K61="",0,LEN(TRIM(Stage!K61))-LEN(SUBSTITUTE(TRIM(Stage!K61),",",""))+1)</f>
        <v>4</v>
      </c>
      <c r="I36" s="117">
        <f>Stage!O61+Stage!P61+Stage!N61+Stage!Q61+Stage!M61</f>
        <v>0</v>
      </c>
      <c r="J36" s="117">
        <f>IF(Stage!F61=0,0,I36/Stage!F61)</f>
        <v>0</v>
      </c>
      <c r="K36" s="118">
        <f t="shared" si="0"/>
        <v>30.270735712283237</v>
      </c>
      <c r="L36" s="118">
        <f t="shared" si="2"/>
        <v>39.093515959790139</v>
      </c>
      <c r="M36" s="117" t="str">
        <f t="shared" si="1"/>
        <v>보통</v>
      </c>
    </row>
    <row r="37" spans="1:13" ht="15.95" customHeight="1" x14ac:dyDescent="0.3">
      <c r="A37" s="119">
        <v>24</v>
      </c>
      <c r="B37" s="119" t="str">
        <f>Stage!C62</f>
        <v>N 024</v>
      </c>
      <c r="C37" s="119">
        <f>Stage!F62</f>
        <v>150</v>
      </c>
      <c r="D37" s="119">
        <f>IF(Stage!G62="",0,LEN(TRIM(Stage!G62))-LEN(SUBSTITUTE(TRIM(Stage!G62),",",""))+1)</f>
        <v>3</v>
      </c>
      <c r="E37" s="119">
        <f>IF(ISERROR(FIND(",",Stage!H62)),VALUE(Stage!H62),(VALUE(LEFT(Stage!H62,FIND(",",Stage!H62)-1))+VALUE(TRIM(MID(Stage!H62,FIND("|",SUBSTITUTE(Stage!H62,",","|",LEN(Stage!H62)-LEN(SUBSTITUTE(Stage!H62,",",""))))+1,100))))/2)</f>
        <v>2.5</v>
      </c>
      <c r="F37" s="119">
        <f>IF(ISERROR(FIND(",",Stage!I62)),VALUE(Stage!I62),(VALUE(LEFT(Stage!I62,FIND(",",Stage!I62)-1))+VALUE(TRIM(MID(Stage!I62,FIND("|",SUBSTITUTE(Stage!I62,",","|",LEN(Stage!I62)-LEN(SUBSTITUTE(Stage!I62,",",""))))+1,100))))/2)</f>
        <v>0.4</v>
      </c>
      <c r="G37" s="119">
        <f>IF(ISERROR(FIND(",",Stage!J62)),VALUE(Stage!J62),VALUE(LEFT(Stage!J62,FIND(",",Stage!J62)-1)))</f>
        <v>30</v>
      </c>
      <c r="H37" s="119">
        <f>IF(Stage!K62="",0,LEN(TRIM(Stage!K62))-LEN(SUBSTITUTE(TRIM(Stage!K62),",",""))+1)</f>
        <v>4</v>
      </c>
      <c r="I37" s="119">
        <f>Stage!O62+Stage!P62+Stage!N62+Stage!Q62+Stage!M62</f>
        <v>0</v>
      </c>
      <c r="J37" s="119">
        <f>IF(Stage!F62=0,0,I37/Stage!F62)</f>
        <v>0</v>
      </c>
      <c r="K37" s="120">
        <f t="shared" si="0"/>
        <v>38.569025591733748</v>
      </c>
      <c r="L37" s="120">
        <f t="shared" si="2"/>
        <v>36.645920941968043</v>
      </c>
      <c r="M37" s="119" t="str">
        <f t="shared" si="1"/>
        <v>보통</v>
      </c>
    </row>
    <row r="38" spans="1:13" ht="15.95" customHeight="1" x14ac:dyDescent="0.3">
      <c r="A38" s="117">
        <v>25</v>
      </c>
      <c r="B38" s="117" t="str">
        <f>Stage!C63</f>
        <v>N 025</v>
      </c>
      <c r="C38" s="117">
        <f>Stage!F63</f>
        <v>135</v>
      </c>
      <c r="D38" s="117">
        <f>IF(Stage!G63="",0,LEN(TRIM(Stage!G63))-LEN(SUBSTITUTE(TRIM(Stage!G63),",",""))+1)</f>
        <v>3</v>
      </c>
      <c r="E38" s="117">
        <f>IF(ISERROR(FIND(",",Stage!H63)),VALUE(Stage!H63),(VALUE(LEFT(Stage!H63,FIND(",",Stage!H63)-1))+VALUE(TRIM(MID(Stage!H63,FIND("|",SUBSTITUTE(Stage!H63,",","|",LEN(Stage!H63)-LEN(SUBSTITUTE(Stage!H63,",",""))))+1,100))))/2)</f>
        <v>2.5</v>
      </c>
      <c r="F38" s="117">
        <f>IF(ISERROR(FIND(",",Stage!I63)),VALUE(Stage!I63),(VALUE(LEFT(Stage!I63,FIND(",",Stage!I63)-1))+VALUE(TRIM(MID(Stage!I63,FIND("|",SUBSTITUTE(Stage!I63,",","|",LEN(Stage!I63)-LEN(SUBSTITUTE(Stage!I63,",",""))))+1,100))))/2)</f>
        <v>0.4</v>
      </c>
      <c r="G38" s="117">
        <f>IF(ISERROR(FIND(",",Stage!J63)),VALUE(Stage!J63),VALUE(LEFT(Stage!J63,FIND(",",Stage!J63)-1)))</f>
        <v>33</v>
      </c>
      <c r="H38" s="117">
        <f>IF(Stage!K63="",0,LEN(TRIM(Stage!K63))-LEN(SUBSTITUTE(TRIM(Stage!K63),",",""))+1)</f>
        <v>3</v>
      </c>
      <c r="I38" s="117">
        <f>Stage!O63+Stage!P63+Stage!N63+Stage!Q63+Stage!M63</f>
        <v>0</v>
      </c>
      <c r="J38" s="117">
        <f>IF(Stage!F63=0,0,I38/Stage!F63)</f>
        <v>0</v>
      </c>
      <c r="K38" s="118">
        <f t="shared" si="0"/>
        <v>35.356241739757294</v>
      </c>
      <c r="L38" s="118">
        <f t="shared" si="2"/>
        <v>34.897593015339019</v>
      </c>
      <c r="M38" s="117" t="str">
        <f t="shared" si="1"/>
        <v>보통</v>
      </c>
    </row>
    <row r="39" spans="1:13" ht="15.95" customHeight="1" x14ac:dyDescent="0.3">
      <c r="A39" s="119">
        <v>26</v>
      </c>
      <c r="B39" s="119" t="str">
        <f>Stage!C64</f>
        <v>N 026</v>
      </c>
      <c r="C39" s="119">
        <f>Stage!F64</f>
        <v>130</v>
      </c>
      <c r="D39" s="119">
        <f>IF(Stage!G64="",0,LEN(TRIM(Stage!G64))-LEN(SUBSTITUTE(TRIM(Stage!G64),",",""))+1)</f>
        <v>3</v>
      </c>
      <c r="E39" s="119">
        <f>IF(ISERROR(FIND(",",Stage!H64)),VALUE(Stage!H64),(VALUE(LEFT(Stage!H64,FIND(",",Stage!H64)-1))+VALUE(TRIM(MID(Stage!H64,FIND("|",SUBSTITUTE(Stage!H64,",","|",LEN(Stage!H64)-LEN(SUBSTITUTE(Stage!H64,",",""))))+1,100))))/2)</f>
        <v>2.5</v>
      </c>
      <c r="F39" s="119">
        <f>IF(ISERROR(FIND(",",Stage!I64)),VALUE(Stage!I64),(VALUE(LEFT(Stage!I64,FIND(",",Stage!I64)-1))+VALUE(TRIM(MID(Stage!I64,FIND("|",SUBSTITUTE(Stage!I64,",","|",LEN(Stage!I64)-LEN(SUBSTITUTE(Stage!I64,",",""))))+1,100))))/2)</f>
        <v>0.4</v>
      </c>
      <c r="G39" s="119">
        <f>IF(ISERROR(FIND(",",Stage!J64)),VALUE(Stage!J64),VALUE(LEFT(Stage!J64,FIND(",",Stage!J64)-1)))</f>
        <v>32</v>
      </c>
      <c r="H39" s="119">
        <f>IF(Stage!K64="",0,LEN(TRIM(Stage!K64))-LEN(SUBSTITUTE(TRIM(Stage!K64),",",""))+1)</f>
        <v>3</v>
      </c>
      <c r="I39" s="119">
        <f>Stage!O64+Stage!P64+Stage!N64+Stage!Q64+Stage!M64</f>
        <v>0</v>
      </c>
      <c r="J39" s="119">
        <f>IF(Stage!F64=0,0,I39/Stage!F64)</f>
        <v>0</v>
      </c>
      <c r="K39" s="120">
        <f t="shared" si="0"/>
        <v>34.93572029316352</v>
      </c>
      <c r="L39" s="120">
        <f t="shared" si="2"/>
        <v>38.10997637069967</v>
      </c>
      <c r="M39" s="119" t="str">
        <f t="shared" si="1"/>
        <v>보통</v>
      </c>
    </row>
    <row r="40" spans="1:13" ht="15.95" customHeight="1" x14ac:dyDescent="0.3">
      <c r="A40" s="117">
        <v>27</v>
      </c>
      <c r="B40" s="117" t="str">
        <f>Stage!C65</f>
        <v>N 027</v>
      </c>
      <c r="C40" s="117">
        <f>Stage!F65</f>
        <v>135</v>
      </c>
      <c r="D40" s="117">
        <f>IF(Stage!G65="",0,LEN(TRIM(Stage!G65))-LEN(SUBSTITUTE(TRIM(Stage!G65),",",""))+1)</f>
        <v>3</v>
      </c>
      <c r="E40" s="117">
        <f>IF(ISERROR(FIND(",",Stage!H65)),VALUE(Stage!H65),(VALUE(LEFT(Stage!H65,FIND(",",Stage!H65)-1))+VALUE(TRIM(MID(Stage!H65,FIND("|",SUBSTITUTE(Stage!H65,",","|",LEN(Stage!H65)-LEN(SUBSTITUTE(Stage!H65,",",""))))+1,100))))/2)</f>
        <v>2.5</v>
      </c>
      <c r="F40" s="117">
        <f>IF(ISERROR(FIND(",",Stage!I65)),VALUE(Stage!I65),(VALUE(LEFT(Stage!I65,FIND(",",Stage!I65)-1))+VALUE(TRIM(MID(Stage!I65,FIND("|",SUBSTITUTE(Stage!I65,",","|",LEN(Stage!I65)-LEN(SUBSTITUTE(Stage!I65,",",""))))+1,100))))/2)</f>
        <v>0.4</v>
      </c>
      <c r="G40" s="117">
        <f>IF(ISERROR(FIND(",",Stage!J65)),VALUE(Stage!J65),VALUE(LEFT(Stage!J65,FIND(",",Stage!J65)-1)))</f>
        <v>33</v>
      </c>
      <c r="H40" s="117">
        <f>IF(Stage!K65="",0,LEN(TRIM(Stage!K65))-LEN(SUBSTITUTE(TRIM(Stage!K65),",",""))+1)</f>
        <v>3</v>
      </c>
      <c r="I40" s="117">
        <f>Stage!O65+Stage!P65+Stage!N65+Stage!Q65+Stage!M65</f>
        <v>0</v>
      </c>
      <c r="J40" s="117">
        <f>IF(Stage!F65=0,0,I40/Stage!F65)</f>
        <v>0</v>
      </c>
      <c r="K40" s="118">
        <f t="shared" si="0"/>
        <v>35.356241739757294</v>
      </c>
      <c r="L40" s="118">
        <f t="shared" si="2"/>
        <v>37.383315310985623</v>
      </c>
      <c r="M40" s="117" t="str">
        <f t="shared" si="1"/>
        <v>보통</v>
      </c>
    </row>
    <row r="41" spans="1:13" ht="15.95" customHeight="1" x14ac:dyDescent="0.3">
      <c r="A41" s="119">
        <v>28</v>
      </c>
      <c r="B41" s="119" t="str">
        <f>Stage!C66</f>
        <v>N 028</v>
      </c>
      <c r="C41" s="119">
        <f>Stage!F66</f>
        <v>185</v>
      </c>
      <c r="D41" s="119">
        <f>IF(Stage!G66="",0,LEN(TRIM(Stage!G66))-LEN(SUBSTITUTE(TRIM(Stage!G66),",",""))+1)</f>
        <v>3</v>
      </c>
      <c r="E41" s="119">
        <f>IF(ISERROR(FIND(",",Stage!H66)),VALUE(Stage!H66),(VALUE(LEFT(Stage!H66,FIND(",",Stage!H66)-1))+VALUE(TRIM(MID(Stage!H66,FIND("|",SUBSTITUTE(Stage!H66,",","|",LEN(Stage!H66)-LEN(SUBSTITUTE(Stage!H66,",",""))))+1,100))))/2)</f>
        <v>3</v>
      </c>
      <c r="F41" s="119">
        <f>IF(ISERROR(FIND(",",Stage!I66)),VALUE(Stage!I66),(VALUE(LEFT(Stage!I66,FIND(",",Stage!I66)-1))+VALUE(TRIM(MID(Stage!I66,FIND("|",SUBSTITUTE(Stage!I66,",","|",LEN(Stage!I66)-LEN(SUBSTITUTE(Stage!I66,",",""))))+1,100))))/2)</f>
        <v>0.2</v>
      </c>
      <c r="G41" s="119">
        <f>IF(ISERROR(FIND(",",Stage!J66)),VALUE(Stage!J66),VALUE(LEFT(Stage!J66,FIND(",",Stage!J66)-1)))</f>
        <v>37</v>
      </c>
      <c r="H41" s="119">
        <f>IF(Stage!K66="",0,LEN(TRIM(Stage!K66))-LEN(SUBSTITUTE(TRIM(Stage!K66),",",""))+1)</f>
        <v>4</v>
      </c>
      <c r="I41" s="119">
        <f>Stage!O66+Stage!P66+Stage!N66+Stage!Q66+Stage!M66</f>
        <v>0</v>
      </c>
      <c r="J41" s="119">
        <f>IF(Stage!F66=0,0,I41/Stage!F66)</f>
        <v>0</v>
      </c>
      <c r="K41" s="120">
        <f t="shared" si="0"/>
        <v>46.33265248908647</v>
      </c>
      <c r="L41" s="120">
        <f t="shared" si="2"/>
        <v>39.578597460851462</v>
      </c>
      <c r="M41" s="119" t="str">
        <f t="shared" si="1"/>
        <v>어려움</v>
      </c>
    </row>
    <row r="42" spans="1:13" ht="15.95" customHeight="1" x14ac:dyDescent="0.3">
      <c r="A42" s="117">
        <v>29</v>
      </c>
      <c r="B42" s="117" t="str">
        <f>Stage!C67</f>
        <v>N 029</v>
      </c>
      <c r="C42" s="117">
        <f>Stage!F67</f>
        <v>130</v>
      </c>
      <c r="D42" s="117">
        <f>IF(Stage!G67="",0,LEN(TRIM(Stage!G67))-LEN(SUBSTITUTE(TRIM(Stage!G67),",",""))+1)</f>
        <v>3</v>
      </c>
      <c r="E42" s="117">
        <f>IF(ISERROR(FIND(",",Stage!H67)),VALUE(Stage!H67),(VALUE(LEFT(Stage!H67,FIND(",",Stage!H67)-1))+VALUE(TRIM(MID(Stage!H67,FIND("|",SUBSTITUTE(Stage!H67,",","|",LEN(Stage!H67)-LEN(SUBSTITUTE(Stage!H67,",",""))))+1,100))))/2)</f>
        <v>2.5</v>
      </c>
      <c r="F42" s="117">
        <f>IF(ISERROR(FIND(",",Stage!I67)),VALUE(Stage!I67),(VALUE(LEFT(Stage!I67,FIND(",",Stage!I67)-1))+VALUE(TRIM(MID(Stage!I67,FIND("|",SUBSTITUTE(Stage!I67,",","|",LEN(Stage!I67)-LEN(SUBSTITUTE(Stage!I67,",",""))))+1,100))))/2)</f>
        <v>0.4</v>
      </c>
      <c r="G42" s="117">
        <f>IF(ISERROR(FIND(",",Stage!J67)),VALUE(Stage!J67),VALUE(LEFT(Stage!J67,FIND(",",Stage!J67)-1)))</f>
        <v>32</v>
      </c>
      <c r="H42" s="117">
        <f>IF(Stage!K67="",0,LEN(TRIM(Stage!K67))-LEN(SUBSTITUTE(TRIM(Stage!K67),",",""))+1)</f>
        <v>3</v>
      </c>
      <c r="I42" s="117">
        <f>Stage!O67+Stage!P67+Stage!N67+Stage!Q67+Stage!M67</f>
        <v>0</v>
      </c>
      <c r="J42" s="117">
        <f>IF(Stage!F67=0,0,I42/Stage!F67)</f>
        <v>0</v>
      </c>
      <c r="K42" s="118">
        <f t="shared" si="0"/>
        <v>34.93572029316352</v>
      </c>
      <c r="L42" s="118">
        <f t="shared" si="2"/>
        <v>38.824262084985378</v>
      </c>
      <c r="M42" s="117" t="str">
        <f t="shared" si="1"/>
        <v>보통</v>
      </c>
    </row>
    <row r="43" spans="1:13" ht="15.95" customHeight="1" x14ac:dyDescent="0.3">
      <c r="A43" s="119">
        <v>30</v>
      </c>
      <c r="B43" s="119" t="str">
        <f>Stage!C68</f>
        <v>N 030</v>
      </c>
      <c r="C43" s="119">
        <f>Stage!F68</f>
        <v>185</v>
      </c>
      <c r="D43" s="119">
        <f>IF(Stage!G68="",0,LEN(TRIM(Stage!G68))-LEN(SUBSTITUTE(TRIM(Stage!G68),",",""))+1)</f>
        <v>3</v>
      </c>
      <c r="E43" s="119">
        <f>IF(ISERROR(FIND(",",Stage!H68)),VALUE(Stage!H68),(VALUE(LEFT(Stage!H68,FIND(",",Stage!H68)-1))+VALUE(TRIM(MID(Stage!H68,FIND("|",SUBSTITUTE(Stage!H68,",","|",LEN(Stage!H68)-LEN(SUBSTITUTE(Stage!H68,",",""))))+1,100))))/2)</f>
        <v>3</v>
      </c>
      <c r="F43" s="119">
        <f>IF(ISERROR(FIND(",",Stage!I68)),VALUE(Stage!I68),(VALUE(LEFT(Stage!I68,FIND(",",Stage!I68)-1))+VALUE(TRIM(MID(Stage!I68,FIND("|",SUBSTITUTE(Stage!I68,",","|",LEN(Stage!I68)-LEN(SUBSTITUTE(Stage!I68,",",""))))+1,100))))/2)</f>
        <v>0.2</v>
      </c>
      <c r="G43" s="119">
        <f>IF(ISERROR(FIND(",",Stage!J68)),VALUE(Stage!J68),VALUE(LEFT(Stage!J68,FIND(",",Stage!J68)-1)))</f>
        <v>37</v>
      </c>
      <c r="H43" s="119">
        <f>IF(Stage!K68="",0,LEN(TRIM(Stage!K68))-LEN(SUBSTITUTE(TRIM(Stage!K68),",",""))+1)</f>
        <v>4</v>
      </c>
      <c r="I43" s="119">
        <f>Stage!O68+Stage!P68+Stage!N68+Stage!Q68+Stage!M68</f>
        <v>0</v>
      </c>
      <c r="J43" s="119">
        <f>IF(Stage!F68=0,0,I43/Stage!F68)</f>
        <v>0</v>
      </c>
      <c r="K43" s="120">
        <f t="shared" si="0"/>
        <v>46.33265248908647</v>
      </c>
      <c r="L43" s="120">
        <f t="shared" si="2"/>
        <v>40.488485722295643</v>
      </c>
      <c r="M43" s="119" t="str">
        <f t="shared" si="1"/>
        <v>어려움</v>
      </c>
    </row>
    <row r="44" spans="1:13" ht="15.95" customHeight="1" x14ac:dyDescent="0.3">
      <c r="A44" s="117">
        <v>31</v>
      </c>
      <c r="B44" s="117" t="str">
        <f>Stage!C69</f>
        <v>N 031</v>
      </c>
      <c r="C44" s="117">
        <f>Stage!F69</f>
        <v>100</v>
      </c>
      <c r="D44" s="117">
        <f>IF(Stage!G69="",0,LEN(TRIM(Stage!G69))-LEN(SUBSTITUTE(TRIM(Stage!G69),",",""))+1)</f>
        <v>3</v>
      </c>
      <c r="E44" s="117">
        <f>IF(ISERROR(FIND(",",Stage!H69)),VALUE(Stage!H69),(VALUE(LEFT(Stage!H69,FIND(",",Stage!H69)-1))+VALUE(TRIM(MID(Stage!H69,FIND("|",SUBSTITUTE(Stage!H69,",","|",LEN(Stage!H69)-LEN(SUBSTITUTE(Stage!H69,",",""))))+1,100))))/2)</f>
        <v>2</v>
      </c>
      <c r="F44" s="117">
        <f>IF(ISERROR(FIND(",",Stage!I69)),VALUE(Stage!I69),(VALUE(LEFT(Stage!I69,FIND(",",Stage!I69)-1))+VALUE(TRIM(MID(Stage!I69,FIND("|",SUBSTITUTE(Stage!I69,",","|",LEN(Stage!I69)-LEN(SUBSTITUTE(Stage!I69,",",""))))+1,100))))/2)</f>
        <v>0.5</v>
      </c>
      <c r="G44" s="117">
        <f>IF(ISERROR(FIND(",",Stage!J69)),VALUE(Stage!J69),VALUE(LEFT(Stage!J69,FIND(",",Stage!J69)-1)))</f>
        <v>25</v>
      </c>
      <c r="H44" s="117">
        <f>IF(Stage!K69="",0,LEN(TRIM(Stage!K69))-LEN(SUBSTITUTE(TRIM(Stage!K69),",",""))+1)</f>
        <v>3</v>
      </c>
      <c r="I44" s="117">
        <f>Stage!O69+Stage!P69+Stage!N69+Stage!Q69+Stage!M69</f>
        <v>0</v>
      </c>
      <c r="J44" s="117">
        <f>IF(Stage!F69=0,0,I44/Stage!F69)</f>
        <v>0</v>
      </c>
      <c r="K44" s="118">
        <f t="shared" si="0"/>
        <v>31.164043413833152</v>
      </c>
      <c r="L44" s="118">
        <f t="shared" si="2"/>
        <v>37.439745284152352</v>
      </c>
      <c r="M44" s="117" t="str">
        <f t="shared" si="1"/>
        <v>보통</v>
      </c>
    </row>
    <row r="45" spans="1:13" ht="15.95" customHeight="1" x14ac:dyDescent="0.3">
      <c r="A45" s="119">
        <v>32</v>
      </c>
      <c r="B45" s="119" t="str">
        <f>Stage!C70</f>
        <v>N 032</v>
      </c>
      <c r="C45" s="119">
        <f>Stage!F70</f>
        <v>170</v>
      </c>
      <c r="D45" s="119">
        <f>IF(Stage!G70="",0,LEN(TRIM(Stage!G70))-LEN(SUBSTITUTE(TRIM(Stage!G70),",",""))+1)</f>
        <v>3</v>
      </c>
      <c r="E45" s="119">
        <f>IF(ISERROR(FIND(",",Stage!H70)),VALUE(Stage!H70),(VALUE(LEFT(Stage!H70,FIND(",",Stage!H70)-1))+VALUE(TRIM(MID(Stage!H70,FIND("|",SUBSTITUTE(Stage!H70,",","|",LEN(Stage!H70)-LEN(SUBSTITUTE(Stage!H70,",",""))))+1,100))))/2)</f>
        <v>3</v>
      </c>
      <c r="F45" s="119">
        <f>IF(ISERROR(FIND(",",Stage!I70)),VALUE(Stage!I70),(VALUE(LEFT(Stage!I70,FIND(",",Stage!I70)-1))+VALUE(TRIM(MID(Stage!I70,FIND("|",SUBSTITUTE(Stage!I70,",","|",LEN(Stage!I70)-LEN(SUBSTITUTE(Stage!I70,",",""))))+1,100))))/2)</f>
        <v>0.3</v>
      </c>
      <c r="G45" s="119">
        <f>IF(ISERROR(FIND(",",Stage!J70)),VALUE(Stage!J70),VALUE(LEFT(Stage!J70,FIND(",",Stage!J70)-1)))</f>
        <v>34</v>
      </c>
      <c r="H45" s="119">
        <f>IF(Stage!K70="",0,LEN(TRIM(Stage!K70))-LEN(SUBSTITUTE(TRIM(Stage!K70),",",""))+1)</f>
        <v>4</v>
      </c>
      <c r="I45" s="119">
        <f>Stage!O70+Stage!P70+Stage!N70+Stage!Q70+Stage!M70</f>
        <v>0</v>
      </c>
      <c r="J45" s="119">
        <f>IF(Stage!F70=0,0,I45/Stage!F70)</f>
        <v>0</v>
      </c>
      <c r="K45" s="120">
        <f t="shared" si="0"/>
        <v>43.677359926308618</v>
      </c>
      <c r="L45" s="120">
        <f t="shared" si="2"/>
        <v>36.685409908286275</v>
      </c>
      <c r="M45" s="119" t="str">
        <f t="shared" si="1"/>
        <v>보통</v>
      </c>
    </row>
    <row r="46" spans="1:13" ht="15.95" customHeight="1" x14ac:dyDescent="0.3">
      <c r="A46" s="117">
        <v>33</v>
      </c>
      <c r="B46" s="117" t="str">
        <f>Stage!C71</f>
        <v>N 033</v>
      </c>
      <c r="C46" s="117">
        <f>Stage!F71</f>
        <v>125</v>
      </c>
      <c r="D46" s="117">
        <f>IF(Stage!G71="",0,LEN(TRIM(Stage!G71))-LEN(SUBSTITUTE(TRIM(Stage!G71),",",""))+1)</f>
        <v>3</v>
      </c>
      <c r="E46" s="117">
        <f>IF(ISERROR(FIND(",",Stage!H71)),VALUE(Stage!H71),(VALUE(LEFT(Stage!H71,FIND(",",Stage!H71)-1))+VALUE(TRIM(MID(Stage!H71,FIND("|",SUBSTITUTE(Stage!H71,",","|",LEN(Stage!H71)-LEN(SUBSTITUTE(Stage!H71,",",""))))+1,100))))/2)</f>
        <v>2</v>
      </c>
      <c r="F46" s="117">
        <f>IF(ISERROR(FIND(",",Stage!I71)),VALUE(Stage!I71),(VALUE(LEFT(Stage!I71,FIND(",",Stage!I71)-1))+VALUE(TRIM(MID(Stage!I71,FIND("|",SUBSTITUTE(Stage!I71,",","|",LEN(Stage!I71)-LEN(SUBSTITUTE(Stage!I71,",",""))))+1,100))))/2)</f>
        <v>0.5</v>
      </c>
      <c r="G46" s="117">
        <f>IF(ISERROR(FIND(",",Stage!J71)),VALUE(Stage!J71),VALUE(LEFT(Stage!J71,FIND(",",Stage!J71)-1)))</f>
        <v>31</v>
      </c>
      <c r="H46" s="117">
        <f>IF(Stage!K71="",0,LEN(TRIM(Stage!K71))-LEN(SUBSTITUTE(TRIM(Stage!K71),",",""))+1)</f>
        <v>3</v>
      </c>
      <c r="I46" s="117">
        <f>Stage!O71+Stage!P71+Stage!N71+Stage!Q71+Stage!M71</f>
        <v>0</v>
      </c>
      <c r="J46" s="117">
        <f>IF(Stage!F71=0,0,I46/Stage!F71)</f>
        <v>0</v>
      </c>
      <c r="K46" s="118">
        <f t="shared" si="0"/>
        <v>31.088950298369983</v>
      </c>
      <c r="L46" s="118">
        <f t="shared" si="2"/>
        <v>32.740358043974524</v>
      </c>
      <c r="M46" s="117" t="str">
        <f t="shared" si="1"/>
        <v>보통</v>
      </c>
    </row>
    <row r="47" spans="1:13" ht="15.95" customHeight="1" x14ac:dyDescent="0.3">
      <c r="A47" s="119">
        <v>34</v>
      </c>
      <c r="B47" s="119" t="str">
        <f>Stage!C72</f>
        <v>N 034</v>
      </c>
      <c r="C47" s="119">
        <f>Stage!F72</f>
        <v>100</v>
      </c>
      <c r="D47" s="119">
        <f>IF(Stage!G72="",0,LEN(TRIM(Stage!G72))-LEN(SUBSTITUTE(TRIM(Stage!G72),",",""))+1)</f>
        <v>3</v>
      </c>
      <c r="E47" s="119">
        <f>IF(ISERROR(FIND(",",Stage!H72)),VALUE(Stage!H72),(VALUE(LEFT(Stage!H72,FIND(",",Stage!H72)-1))+VALUE(TRIM(MID(Stage!H72,FIND("|",SUBSTITUTE(Stage!H72,",","|",LEN(Stage!H72)-LEN(SUBSTITUTE(Stage!H72,",",""))))+1,100))))/2)</f>
        <v>2</v>
      </c>
      <c r="F47" s="119">
        <f>IF(ISERROR(FIND(",",Stage!I72)),VALUE(Stage!I72),(VALUE(LEFT(Stage!I72,FIND(",",Stage!I72)-1))+VALUE(TRIM(MID(Stage!I72,FIND("|",SUBSTITUTE(Stage!I72,",","|",LEN(Stage!I72)-LEN(SUBSTITUTE(Stage!I72,",",""))))+1,100))))/2)</f>
        <v>0.5</v>
      </c>
      <c r="G47" s="119">
        <f>IF(ISERROR(FIND(",",Stage!J72)),VALUE(Stage!J72),VALUE(LEFT(Stage!J72,FIND(",",Stage!J72)-1)))</f>
        <v>25</v>
      </c>
      <c r="H47" s="119">
        <f>IF(Stage!K72="",0,LEN(TRIM(Stage!K72))-LEN(SUBSTITUTE(TRIM(Stage!K72),",",""))+1)</f>
        <v>3</v>
      </c>
      <c r="I47" s="119">
        <f>Stage!O72+Stage!P72+Stage!N72+Stage!Q72+Stage!M72</f>
        <v>0</v>
      </c>
      <c r="J47" s="119">
        <f>IF(Stage!F72=0,0,I47/Stage!F72)</f>
        <v>0</v>
      </c>
      <c r="K47" s="120">
        <f t="shared" si="0"/>
        <v>31.164043413833152</v>
      </c>
      <c r="L47" s="120">
        <f t="shared" si="2"/>
        <v>31.829027994713442</v>
      </c>
      <c r="M47" s="119" t="str">
        <f t="shared" si="1"/>
        <v>보통</v>
      </c>
    </row>
    <row r="48" spans="1:13" ht="15.95" customHeight="1" x14ac:dyDescent="0.3">
      <c r="A48" s="117">
        <v>35</v>
      </c>
      <c r="B48" s="117" t="str">
        <f>Stage!C73</f>
        <v>N 035</v>
      </c>
      <c r="C48" s="117">
        <f>Stage!F73</f>
        <v>80</v>
      </c>
      <c r="D48" s="117">
        <f>IF(Stage!G73="",0,LEN(TRIM(Stage!G73))-LEN(SUBSTITUTE(TRIM(Stage!G73),",",""))+1)</f>
        <v>2</v>
      </c>
      <c r="E48" s="117">
        <f>IF(ISERROR(FIND(",",Stage!H73)),VALUE(Stage!H73),(VALUE(LEFT(Stage!H73,FIND(",",Stage!H73)-1))+VALUE(TRIM(MID(Stage!H73,FIND("|",SUBSTITUTE(Stage!H73,",","|",LEN(Stage!H73)-LEN(SUBSTITUTE(Stage!H73,",",""))))+1,100))))/2)</f>
        <v>2</v>
      </c>
      <c r="F48" s="117">
        <f>IF(ISERROR(FIND(",",Stage!I73)),VALUE(Stage!I73),(VALUE(LEFT(Stage!I73,FIND(",",Stage!I73)-1))+VALUE(TRIM(MID(Stage!I73,FIND("|",SUBSTITUTE(Stage!I73,",","|",LEN(Stage!I73)-LEN(SUBSTITUTE(Stage!I73,",",""))))+1,100))))/2)</f>
        <v>0.6</v>
      </c>
      <c r="G48" s="117">
        <f>IF(ISERROR(FIND(",",Stage!J73)),VALUE(Stage!J73),VALUE(LEFT(Stage!J73,FIND(",",Stage!J73)-1)))</f>
        <v>20</v>
      </c>
      <c r="H48" s="117">
        <f>IF(Stage!K73="",0,LEN(TRIM(Stage!K73))-LEN(SUBSTITUTE(TRIM(Stage!K73),",",""))+1)</f>
        <v>3</v>
      </c>
      <c r="I48" s="117">
        <f>Stage!O73+Stage!P73+Stage!N73+Stage!Q73+Stage!M73</f>
        <v>0</v>
      </c>
      <c r="J48" s="117">
        <f>IF(Stage!F73=0,0,I48/Stage!F73)</f>
        <v>0</v>
      </c>
      <c r="K48" s="118">
        <f t="shared" si="0"/>
        <v>26.607393167527732</v>
      </c>
      <c r="L48" s="118">
        <f t="shared" si="2"/>
        <v>30.248908646721937</v>
      </c>
      <c r="M48" s="117" t="str">
        <f t="shared" si="1"/>
        <v>보통</v>
      </c>
    </row>
    <row r="49" spans="1:13" ht="15.95" customHeight="1" x14ac:dyDescent="0.3">
      <c r="A49" s="119">
        <v>36</v>
      </c>
      <c r="B49" s="119" t="str">
        <f>Stage!C74</f>
        <v>N 036</v>
      </c>
      <c r="C49" s="119">
        <f>Stage!F74</f>
        <v>80</v>
      </c>
      <c r="D49" s="119">
        <f>IF(Stage!G74="",0,LEN(TRIM(Stage!G74))-LEN(SUBSTITUTE(TRIM(Stage!G74),",",""))+1)</f>
        <v>2</v>
      </c>
      <c r="E49" s="119">
        <f>IF(ISERROR(FIND(",",Stage!H74)),VALUE(Stage!H74),(VALUE(LEFT(Stage!H74,FIND(",",Stage!H74)-1))+VALUE(TRIM(MID(Stage!H74,FIND("|",SUBSTITUTE(Stage!H74,",","|",LEN(Stage!H74)-LEN(SUBSTITUTE(Stage!H74,",",""))))+1,100))))/2)</f>
        <v>2</v>
      </c>
      <c r="F49" s="119">
        <f>IF(ISERROR(FIND(",",Stage!I74)),VALUE(Stage!I74),(VALUE(LEFT(Stage!I74,FIND(",",Stage!I74)-1))+VALUE(TRIM(MID(Stage!I74,FIND("|",SUBSTITUTE(Stage!I74,",","|",LEN(Stage!I74)-LEN(SUBSTITUTE(Stage!I74,",",""))))+1,100))))/2)</f>
        <v>0.6</v>
      </c>
      <c r="G49" s="119">
        <f>IF(ISERROR(FIND(",",Stage!J74)),VALUE(Stage!J74),VALUE(LEFT(Stage!J74,FIND(",",Stage!J74)-1)))</f>
        <v>20</v>
      </c>
      <c r="H49" s="119">
        <f>IF(Stage!K74="",0,LEN(TRIM(Stage!K74))-LEN(SUBSTITUTE(TRIM(Stage!K74),",",""))+1)</f>
        <v>3</v>
      </c>
      <c r="I49" s="119">
        <f>Stage!O74+Stage!P74+Stage!N74+Stage!Q74+Stage!M74</f>
        <v>0</v>
      </c>
      <c r="J49" s="119">
        <f>IF(Stage!F74=0,0,I49/Stage!F74)</f>
        <v>0</v>
      </c>
      <c r="K49" s="120">
        <f t="shared" si="0"/>
        <v>26.607393167527732</v>
      </c>
      <c r="L49" s="120">
        <f t="shared" si="2"/>
        <v>30.082262004886058</v>
      </c>
      <c r="M49" s="119" t="str">
        <f t="shared" si="1"/>
        <v>보통</v>
      </c>
    </row>
    <row r="50" spans="1:13" ht="15.95" customHeight="1" x14ac:dyDescent="0.3">
      <c r="A50" s="117">
        <v>37</v>
      </c>
      <c r="B50" s="117" t="str">
        <f>Stage!C75</f>
        <v>N 037</v>
      </c>
      <c r="C50" s="117">
        <f>Stage!F75</f>
        <v>140</v>
      </c>
      <c r="D50" s="117">
        <f>IF(Stage!G75="",0,LEN(TRIM(Stage!G75))-LEN(SUBSTITUTE(TRIM(Stage!G75),",",""))+1)</f>
        <v>3</v>
      </c>
      <c r="E50" s="117">
        <f>IF(ISERROR(FIND(",",Stage!H75)),VALUE(Stage!H75),(VALUE(LEFT(Stage!H75,FIND(",",Stage!H75)-1))+VALUE(TRIM(MID(Stage!H75,FIND("|",SUBSTITUTE(Stage!H75,",","|",LEN(Stage!H75)-LEN(SUBSTITUTE(Stage!H75,",",""))))+1,100))))/2)</f>
        <v>2.5</v>
      </c>
      <c r="F50" s="117">
        <f>IF(ISERROR(FIND(",",Stage!I75)),VALUE(Stage!I75),(VALUE(LEFT(Stage!I75,FIND(",",Stage!I75)-1))+VALUE(TRIM(MID(Stage!I75,FIND("|",SUBSTITUTE(Stage!I75,",","|",LEN(Stage!I75)-LEN(SUBSTITUTE(Stage!I75,",",""))))+1,100))))/2)</f>
        <v>0.4</v>
      </c>
      <c r="G50" s="117">
        <f>IF(ISERROR(FIND(",",Stage!J75)),VALUE(Stage!J75),VALUE(LEFT(Stage!J75,FIND(",",Stage!J75)-1)))</f>
        <v>35</v>
      </c>
      <c r="H50" s="117">
        <f>IF(Stage!K75="",0,LEN(TRIM(Stage!K75))-LEN(SUBSTITUTE(TRIM(Stage!K75),",",""))+1)</f>
        <v>3</v>
      </c>
      <c r="I50" s="117">
        <f>Stage!O75+Stage!P75+Stage!N75+Stage!Q75+Stage!M75</f>
        <v>0</v>
      </c>
      <c r="J50" s="117">
        <f>IF(Stage!F75=0,0,I50/Stage!F75)</f>
        <v>0</v>
      </c>
      <c r="K50" s="118">
        <f t="shared" si="0"/>
        <v>35.776763186351076</v>
      </c>
      <c r="L50" s="118">
        <f t="shared" si="2"/>
        <v>30.082262004886058</v>
      </c>
      <c r="M50" s="117" t="str">
        <f t="shared" si="1"/>
        <v>보통</v>
      </c>
    </row>
    <row r="51" spans="1:13" ht="15.95" customHeight="1" x14ac:dyDescent="0.3">
      <c r="A51" s="119">
        <v>38</v>
      </c>
      <c r="B51" s="119" t="str">
        <f>Stage!C76</f>
        <v>N 038</v>
      </c>
      <c r="C51" s="119">
        <f>Stage!F76</f>
        <v>95</v>
      </c>
      <c r="D51" s="119">
        <f>IF(Stage!G76="",0,LEN(TRIM(Stage!G76))-LEN(SUBSTITUTE(TRIM(Stage!G76),",",""))+1)</f>
        <v>2</v>
      </c>
      <c r="E51" s="119">
        <f>IF(ISERROR(FIND(",",Stage!H76)),VALUE(Stage!H76),(VALUE(LEFT(Stage!H76,FIND(",",Stage!H76)-1))+VALUE(TRIM(MID(Stage!H76,FIND("|",SUBSTITUTE(Stage!H76,",","|",LEN(Stage!H76)-LEN(SUBSTITUTE(Stage!H76,",",""))))+1,100))))/2)</f>
        <v>2</v>
      </c>
      <c r="F51" s="119">
        <f>IF(ISERROR(FIND(",",Stage!I76)),VALUE(Stage!I76),(VALUE(LEFT(Stage!I76,FIND(",",Stage!I76)-1))+VALUE(TRIM(MID(Stage!I76,FIND("|",SUBSTITUTE(Stage!I76,",","|",LEN(Stage!I76)-LEN(SUBSTITUTE(Stage!I76,",",""))))+1,100))))/2)</f>
        <v>0.6</v>
      </c>
      <c r="G51" s="119">
        <f>IF(ISERROR(FIND(",",Stage!J76)),VALUE(Stage!J76),VALUE(LEFT(Stage!J76,FIND(",",Stage!J76)-1)))</f>
        <v>19</v>
      </c>
      <c r="H51" s="119">
        <f>IF(Stage!K76="",0,LEN(TRIM(Stage!K76))-LEN(SUBSTITUTE(TRIM(Stage!K76),",",""))+1)</f>
        <v>4</v>
      </c>
      <c r="I51" s="119">
        <f>Stage!O76+Stage!P76+Stage!N76+Stage!Q76+Stage!M76</f>
        <v>0</v>
      </c>
      <c r="J51" s="119">
        <f>IF(Stage!F76=0,0,I51/Stage!F76)</f>
        <v>0</v>
      </c>
      <c r="K51" s="120">
        <f t="shared" si="0"/>
        <v>30.255717089190593</v>
      </c>
      <c r="L51" s="120">
        <f t="shared" si="2"/>
        <v>30.98758460491009</v>
      </c>
      <c r="M51" s="119" t="str">
        <f t="shared" si="1"/>
        <v>보통</v>
      </c>
    </row>
    <row r="52" spans="1:13" ht="15.95" customHeight="1" x14ac:dyDescent="0.3">
      <c r="A52" s="117">
        <v>39</v>
      </c>
      <c r="B52" s="117" t="str">
        <f>Stage!C77</f>
        <v>N 039</v>
      </c>
      <c r="C52" s="117">
        <f>Stage!F77</f>
        <v>100</v>
      </c>
      <c r="D52" s="117">
        <f>IF(Stage!G77="",0,LEN(TRIM(Stage!G77))-LEN(SUBSTITUTE(TRIM(Stage!G77),",",""))+1)</f>
        <v>3</v>
      </c>
      <c r="E52" s="117">
        <f>IF(ISERROR(FIND(",",Stage!H77)),VALUE(Stage!H77),(VALUE(LEFT(Stage!H77,FIND(",",Stage!H77)-1))+VALUE(TRIM(MID(Stage!H77,FIND("|",SUBSTITUTE(Stage!H77,",","|",LEN(Stage!H77)-LEN(SUBSTITUTE(Stage!H77,",",""))))+1,100))))/2)</f>
        <v>2</v>
      </c>
      <c r="F52" s="117">
        <f>IF(ISERROR(FIND(",",Stage!I77)),VALUE(Stage!I77),(VALUE(LEFT(Stage!I77,FIND(",",Stage!I77)-1))+VALUE(TRIM(MID(Stage!I77,FIND("|",SUBSTITUTE(Stage!I77,",","|",LEN(Stage!I77)-LEN(SUBSTITUTE(Stage!I77,",",""))))+1,100))))/2)</f>
        <v>0.5</v>
      </c>
      <c r="G52" s="117">
        <f>IF(ISERROR(FIND(",",Stage!J77)),VALUE(Stage!J77),VALUE(LEFT(Stage!J77,FIND(",",Stage!J77)-1)))</f>
        <v>25</v>
      </c>
      <c r="H52" s="117">
        <f>IF(Stage!K77="",0,LEN(TRIM(Stage!K77))-LEN(SUBSTITUTE(TRIM(Stage!K77),",",""))+1)</f>
        <v>3</v>
      </c>
      <c r="I52" s="117">
        <f>Stage!O77+Stage!P77+Stage!N77+Stage!Q77+Stage!M77</f>
        <v>0</v>
      </c>
      <c r="J52" s="117">
        <f>IF(Stage!F77=0,0,I52/Stage!F77)</f>
        <v>0</v>
      </c>
      <c r="K52" s="118">
        <f t="shared" si="0"/>
        <v>31.164043413833152</v>
      </c>
      <c r="L52" s="118">
        <f t="shared" si="2"/>
        <v>30.085065481196686</v>
      </c>
      <c r="M52" s="117" t="str">
        <f t="shared" si="1"/>
        <v>보통</v>
      </c>
    </row>
    <row r="53" spans="1:13" ht="15.95" customHeight="1" x14ac:dyDescent="0.3">
      <c r="A53" s="119">
        <v>40</v>
      </c>
      <c r="B53" s="119" t="str">
        <f>Stage!C78</f>
        <v>N 040</v>
      </c>
      <c r="C53" s="119">
        <f>Stage!F78</f>
        <v>110</v>
      </c>
      <c r="D53" s="119">
        <f>IF(Stage!G78="",0,LEN(TRIM(Stage!G78))-LEN(SUBSTITUTE(TRIM(Stage!G78),",",""))+1)</f>
        <v>3</v>
      </c>
      <c r="E53" s="119">
        <f>IF(ISERROR(FIND(",",Stage!H78)),VALUE(Stage!H78),(VALUE(LEFT(Stage!H78,FIND(",",Stage!H78)-1))+VALUE(TRIM(MID(Stage!H78,FIND("|",SUBSTITUTE(Stage!H78,",","|",LEN(Stage!H78)-LEN(SUBSTITUTE(Stage!H78,",",""))))+1,100))))/2)</f>
        <v>2</v>
      </c>
      <c r="F53" s="119">
        <f>IF(ISERROR(FIND(",",Stage!I78)),VALUE(Stage!I78),(VALUE(LEFT(Stage!I78,FIND(",",Stage!I78)-1))+VALUE(TRIM(MID(Stage!I78,FIND("|",SUBSTITUTE(Stage!I78,",","|",LEN(Stage!I78)-LEN(SUBSTITUTE(Stage!I78,",",""))))+1,100))))/2)</f>
        <v>0.5</v>
      </c>
      <c r="G53" s="119">
        <f>IF(ISERROR(FIND(",",Stage!J78)),VALUE(Stage!J78),VALUE(LEFT(Stage!J78,FIND(",",Stage!J78)-1)))</f>
        <v>27</v>
      </c>
      <c r="H53" s="119">
        <f>IF(Stage!K78="",0,LEN(TRIM(Stage!K78))-LEN(SUBSTITUTE(TRIM(Stage!K78),",",""))+1)</f>
        <v>3</v>
      </c>
      <c r="I53" s="119">
        <f>Stage!O78+Stage!P78+Stage!N78+Stage!Q78+Stage!M78</f>
        <v>0</v>
      </c>
      <c r="J53" s="119">
        <f>IF(Stage!F78=0,0,I53/Stage!F78)</f>
        <v>0</v>
      </c>
      <c r="K53" s="120">
        <f t="shared" si="0"/>
        <v>31.134006167647883</v>
      </c>
      <c r="L53" s="120">
        <f t="shared" si="2"/>
        <v>28.251191477432013</v>
      </c>
      <c r="M53" s="119" t="str">
        <f t="shared" si="1"/>
        <v>보통</v>
      </c>
    </row>
    <row r="54" spans="1:13" ht="15.95" customHeight="1" x14ac:dyDescent="0.3">
      <c r="A54" s="117">
        <v>41</v>
      </c>
      <c r="B54" s="117" t="str">
        <f>Stage!C79</f>
        <v>N 041</v>
      </c>
      <c r="C54" s="117">
        <f>Stage!F79</f>
        <v>55</v>
      </c>
      <c r="D54" s="117">
        <f>IF(Stage!G79="",0,LEN(TRIM(Stage!G79))-LEN(SUBSTITUTE(TRIM(Stage!G79),",",""))+1)</f>
        <v>2</v>
      </c>
      <c r="E54" s="117">
        <f>IF(ISERROR(FIND(",",Stage!H79)),VALUE(Stage!H79),(VALUE(LEFT(Stage!H79,FIND(",",Stage!H79)-1))+VALUE(TRIM(MID(Stage!H79,FIND("|",SUBSTITUTE(Stage!H79,",","|",LEN(Stage!H79)-LEN(SUBSTITUTE(Stage!H79,",",""))))+1,100))))/2)</f>
        <v>1</v>
      </c>
      <c r="F54" s="117">
        <f>IF(ISERROR(FIND(",",Stage!I79)),VALUE(Stage!I79),(VALUE(LEFT(Stage!I79,FIND(",",Stage!I79)-1))+VALUE(TRIM(MID(Stage!I79,FIND("|",SUBSTITUTE(Stage!I79,",","|",LEN(Stage!I79)-LEN(SUBSTITUTE(Stage!I79,",",""))))+1,100))))/2)</f>
        <v>0.7</v>
      </c>
      <c r="G54" s="117">
        <f>IF(ISERROR(FIND(",",Stage!J79)),VALUE(Stage!J79),VALUE(LEFT(Stage!J79,FIND(",",Stage!J79)-1)))</f>
        <v>13</v>
      </c>
      <c r="H54" s="117">
        <f>IF(Stage!K79="",0,LEN(TRIM(Stage!K79))-LEN(SUBSTITUTE(TRIM(Stage!K79),",",""))+1)</f>
        <v>3</v>
      </c>
      <c r="I54" s="117">
        <f>Stage!O79+Stage!P79+Stage!N79+Stage!Q79+Stage!M79</f>
        <v>0</v>
      </c>
      <c r="J54" s="117">
        <f>IF(Stage!F79=0,0,I54/Stage!F79)</f>
        <v>0</v>
      </c>
      <c r="K54" s="118">
        <f t="shared" si="0"/>
        <v>22.094797548960717</v>
      </c>
      <c r="L54" s="118">
        <f t="shared" si="2"/>
        <v>28.254195202050546</v>
      </c>
      <c r="M54" s="117" t="str">
        <f t="shared" si="1"/>
        <v>쉬움</v>
      </c>
    </row>
    <row r="55" spans="1:13" ht="15.95" customHeight="1" x14ac:dyDescent="0.3">
      <c r="A55" s="119">
        <v>42</v>
      </c>
      <c r="B55" s="119" t="str">
        <f>Stage!C80</f>
        <v>N 042</v>
      </c>
      <c r="C55" s="119">
        <f>Stage!F80</f>
        <v>80</v>
      </c>
      <c r="D55" s="119">
        <f>IF(Stage!G80="",0,LEN(TRIM(Stage!G80))-LEN(SUBSTITUTE(TRIM(Stage!G80),",",""))+1)</f>
        <v>2</v>
      </c>
      <c r="E55" s="119">
        <f>IF(ISERROR(FIND(",",Stage!H80)),VALUE(Stage!H80),(VALUE(LEFT(Stage!H80,FIND(",",Stage!H80)-1))+VALUE(TRIM(MID(Stage!H80,FIND("|",SUBSTITUTE(Stage!H80,",","|",LEN(Stage!H80)-LEN(SUBSTITUTE(Stage!H80,",",""))))+1,100))))/2)</f>
        <v>2</v>
      </c>
      <c r="F55" s="119">
        <f>IF(ISERROR(FIND(",",Stage!I80)),VALUE(Stage!I80),(VALUE(LEFT(Stage!I80,FIND(",",Stage!I80)-1))+VALUE(TRIM(MID(Stage!I80,FIND("|",SUBSTITUTE(Stage!I80,",","|",LEN(Stage!I80)-LEN(SUBSTITUTE(Stage!I80,",",""))))+1,100))))/2)</f>
        <v>0.6</v>
      </c>
      <c r="G55" s="119">
        <f>IF(ISERROR(FIND(",",Stage!J80)),VALUE(Stage!J80),VALUE(LEFT(Stage!J80,FIND(",",Stage!J80)-1)))</f>
        <v>20</v>
      </c>
      <c r="H55" s="119">
        <f>IF(Stage!K80="",0,LEN(TRIM(Stage!K80))-LEN(SUBSTITUTE(TRIM(Stage!K80),",",""))+1)</f>
        <v>3</v>
      </c>
      <c r="I55" s="119">
        <f>Stage!O80+Stage!P80+Stage!N80+Stage!Q80+Stage!M80</f>
        <v>0</v>
      </c>
      <c r="J55" s="119">
        <f>IF(Stage!F80=0,0,I55/Stage!F80)</f>
        <v>0</v>
      </c>
      <c r="K55" s="120">
        <f t="shared" si="0"/>
        <v>26.607393167527732</v>
      </c>
      <c r="L55" s="120">
        <f t="shared" si="2"/>
        <v>29.008530577916616</v>
      </c>
      <c r="M55" s="119" t="str">
        <f t="shared" si="1"/>
        <v>보통</v>
      </c>
    </row>
    <row r="56" spans="1:13" ht="15.95" customHeight="1" x14ac:dyDescent="0.3">
      <c r="A56" s="117">
        <v>43</v>
      </c>
      <c r="B56" s="117" t="str">
        <f>Stage!C81</f>
        <v>N 043</v>
      </c>
      <c r="C56" s="117">
        <f>Stage!F81</f>
        <v>90</v>
      </c>
      <c r="D56" s="117">
        <f>IF(Stage!G81="",0,LEN(TRIM(Stage!G81))-LEN(SUBSTITUTE(TRIM(Stage!G81),",",""))+1)</f>
        <v>2</v>
      </c>
      <c r="E56" s="117">
        <f>IF(ISERROR(FIND(",",Stage!H81)),VALUE(Stage!H81),(VALUE(LEFT(Stage!H81,FIND(",",Stage!H81)-1))+VALUE(TRIM(MID(Stage!H81,FIND("|",SUBSTITUTE(Stage!H81,",","|",LEN(Stage!H81)-LEN(SUBSTITUTE(Stage!H81,",",""))))+1,100))))/2)</f>
        <v>2</v>
      </c>
      <c r="F56" s="117">
        <f>IF(ISERROR(FIND(",",Stage!I81)),VALUE(Stage!I81),(VALUE(LEFT(Stage!I81,FIND(",",Stage!I81)-1))+VALUE(TRIM(MID(Stage!I81,FIND("|",SUBSTITUTE(Stage!I81,",","|",LEN(Stage!I81)-LEN(SUBSTITUTE(Stage!I81,",",""))))+1,100))))/2)</f>
        <v>0.6</v>
      </c>
      <c r="G56" s="117">
        <f>IF(ISERROR(FIND(",",Stage!J81)),VALUE(Stage!J81),VALUE(LEFT(Stage!J81,FIND(",",Stage!J81)-1)))</f>
        <v>18</v>
      </c>
      <c r="H56" s="117">
        <f>IF(Stage!K81="",0,LEN(TRIM(Stage!K81))-LEN(SUBSTITUTE(TRIM(Stage!K81),",",""))+1)</f>
        <v>4</v>
      </c>
      <c r="I56" s="117">
        <f>Stage!O81+Stage!P81+Stage!N81+Stage!Q81+Stage!M81</f>
        <v>0</v>
      </c>
      <c r="J56" s="117">
        <f>IF(Stage!F81=0,0,I56/Stage!F81)</f>
        <v>0</v>
      </c>
      <c r="K56" s="118">
        <f t="shared" si="0"/>
        <v>30.270735712283237</v>
      </c>
      <c r="L56" s="118">
        <f t="shared" si="2"/>
        <v>30.942488685970609</v>
      </c>
      <c r="M56" s="117" t="str">
        <f t="shared" si="1"/>
        <v>보통</v>
      </c>
    </row>
    <row r="57" spans="1:13" ht="15.95" customHeight="1" x14ac:dyDescent="0.3">
      <c r="A57" s="119">
        <v>44</v>
      </c>
      <c r="B57" s="119" t="str">
        <f>Stage!C82</f>
        <v>N 044</v>
      </c>
      <c r="C57" s="119">
        <f>Stage!F82</f>
        <v>130</v>
      </c>
      <c r="D57" s="119">
        <f>IF(Stage!G82="",0,LEN(TRIM(Stage!G82))-LEN(SUBSTITUTE(TRIM(Stage!G82),",",""))+1)</f>
        <v>3</v>
      </c>
      <c r="E57" s="119">
        <f>IF(ISERROR(FIND(",",Stage!H82)),VALUE(Stage!H82),(VALUE(LEFT(Stage!H82,FIND(",",Stage!H82)-1))+VALUE(TRIM(MID(Stage!H82,FIND("|",SUBSTITUTE(Stage!H82,",","|",LEN(Stage!H82)-LEN(SUBSTITUTE(Stage!H82,",",""))))+1,100))))/2)</f>
        <v>2.5</v>
      </c>
      <c r="F57" s="119">
        <f>IF(ISERROR(FIND(",",Stage!I82)),VALUE(Stage!I82),(VALUE(LEFT(Stage!I82,FIND(",",Stage!I82)-1))+VALUE(TRIM(MID(Stage!I82,FIND("|",SUBSTITUTE(Stage!I82,",","|",LEN(Stage!I82)-LEN(SUBSTITUTE(Stage!I82,",",""))))+1,100))))/2)</f>
        <v>0.4</v>
      </c>
      <c r="G57" s="119">
        <f>IF(ISERROR(FIND(",",Stage!J82)),VALUE(Stage!J82),VALUE(LEFT(Stage!J82,FIND(",",Stage!J82)-1)))</f>
        <v>32</v>
      </c>
      <c r="H57" s="119">
        <f>IF(Stage!K82="",0,LEN(TRIM(Stage!K82))-LEN(SUBSTITUTE(TRIM(Stage!K82),",",""))+1)</f>
        <v>3</v>
      </c>
      <c r="I57" s="119">
        <f>Stage!O82+Stage!P82+Stage!N82+Stage!Q82+Stage!M82</f>
        <v>0</v>
      </c>
      <c r="J57" s="119">
        <f>IF(Stage!F82=0,0,I57/Stage!F82)</f>
        <v>0</v>
      </c>
      <c r="K57" s="120">
        <f t="shared" si="0"/>
        <v>34.93572029316352</v>
      </c>
      <c r="L57" s="120">
        <f t="shared" si="2"/>
        <v>32.580680043253636</v>
      </c>
      <c r="M57" s="119" t="str">
        <f t="shared" si="1"/>
        <v>보통</v>
      </c>
    </row>
    <row r="58" spans="1:13" ht="15.95" customHeight="1" x14ac:dyDescent="0.3">
      <c r="A58" s="117">
        <v>45</v>
      </c>
      <c r="B58" s="117" t="str">
        <f>Stage!C83</f>
        <v>N 045</v>
      </c>
      <c r="C58" s="117">
        <f>Stage!F83</f>
        <v>160</v>
      </c>
      <c r="D58" s="117">
        <f>IF(Stage!G83="",0,LEN(TRIM(Stage!G83))-LEN(SUBSTITUTE(TRIM(Stage!G83),",",""))+1)</f>
        <v>3</v>
      </c>
      <c r="E58" s="117">
        <f>IF(ISERROR(FIND(",",Stage!H83)),VALUE(Stage!H83),(VALUE(LEFT(Stage!H83,FIND(",",Stage!H83)-1))+VALUE(TRIM(MID(Stage!H83,FIND("|",SUBSTITUTE(Stage!H83,",","|",LEN(Stage!H83)-LEN(SUBSTITUTE(Stage!H83,",",""))))+1,100))))/2)</f>
        <v>2.5</v>
      </c>
      <c r="F58" s="117">
        <f>IF(ISERROR(FIND(",",Stage!I83)),VALUE(Stage!I83),(VALUE(LEFT(Stage!I83,FIND(",",Stage!I83)-1))+VALUE(TRIM(MID(Stage!I83,FIND("|",SUBSTITUTE(Stage!I83,",","|",LEN(Stage!I83)-LEN(SUBSTITUTE(Stage!I83,",",""))))+1,100))))/2)</f>
        <v>0.3</v>
      </c>
      <c r="G58" s="117">
        <f>IF(ISERROR(FIND(",",Stage!J83)),VALUE(Stage!J83),VALUE(LEFT(Stage!J83,FIND(",",Stage!J83)-1)))</f>
        <v>32</v>
      </c>
      <c r="H58" s="117">
        <f>IF(Stage!K83="",0,LEN(TRIM(Stage!K83))-LEN(SUBSTITUTE(TRIM(Stage!K83),",",""))+1)</f>
        <v>4</v>
      </c>
      <c r="I58" s="117">
        <f>Stage!O83+Stage!P83+Stage!N83+Stage!Q83+Stage!M83</f>
        <v>0</v>
      </c>
      <c r="J58" s="117">
        <f>IF(Stage!F83=0,0,I58/Stage!F83)</f>
        <v>0</v>
      </c>
      <c r="K58" s="118">
        <f t="shared" si="0"/>
        <v>40.803796707917819</v>
      </c>
      <c r="L58" s="118">
        <f t="shared" si="2"/>
        <v>33.476991469422082</v>
      </c>
      <c r="M58" s="117" t="str">
        <f t="shared" si="1"/>
        <v>보통</v>
      </c>
    </row>
    <row r="59" spans="1:13" ht="15.95" customHeight="1" x14ac:dyDescent="0.3">
      <c r="A59" s="119">
        <v>46</v>
      </c>
      <c r="B59" s="119" t="str">
        <f>Stage!C84</f>
        <v>N 046</v>
      </c>
      <c r="C59" s="119">
        <f>Stage!F84</f>
        <v>85</v>
      </c>
      <c r="D59" s="119">
        <f>IF(Stage!G84="",0,LEN(TRIM(Stage!G84))-LEN(SUBSTITUTE(TRIM(Stage!G84),",",""))+1)</f>
        <v>2</v>
      </c>
      <c r="E59" s="119">
        <f>IF(ISERROR(FIND(",",Stage!H84)),VALUE(Stage!H84),(VALUE(LEFT(Stage!H84,FIND(",",Stage!H84)-1))+VALUE(TRIM(MID(Stage!H84,FIND("|",SUBSTITUTE(Stage!H84,",","|",LEN(Stage!H84)-LEN(SUBSTITUTE(Stage!H84,",",""))))+1,100))))/2)</f>
        <v>2</v>
      </c>
      <c r="F59" s="119">
        <f>IF(ISERROR(FIND(",",Stage!I84)),VALUE(Stage!I84),(VALUE(LEFT(Stage!I84,FIND(",",Stage!I84)-1))+VALUE(TRIM(MID(Stage!I84,FIND("|",SUBSTITUTE(Stage!I84,",","|",LEN(Stage!I84)-LEN(SUBSTITUTE(Stage!I84,",",""))))+1,100))))/2)</f>
        <v>0.6</v>
      </c>
      <c r="G59" s="119">
        <f>IF(ISERROR(FIND(",",Stage!J84)),VALUE(Stage!J84),VALUE(LEFT(Stage!J84,FIND(",",Stage!J84)-1)))</f>
        <v>17</v>
      </c>
      <c r="H59" s="119">
        <f>IF(Stage!K84="",0,LEN(TRIM(Stage!K84))-LEN(SUBSTITUTE(TRIM(Stage!K84),",",""))+1)</f>
        <v>4</v>
      </c>
      <c r="I59" s="119">
        <f>Stage!O84+Stage!P84+Stage!N84+Stage!Q84+Stage!M84</f>
        <v>0</v>
      </c>
      <c r="J59" s="119">
        <f>IF(Stage!F84=0,0,I59/Stage!F84)</f>
        <v>0</v>
      </c>
      <c r="K59" s="120">
        <f t="shared" si="0"/>
        <v>30.285754335375863</v>
      </c>
      <c r="L59" s="120">
        <f t="shared" si="2"/>
        <v>32.744322960470981</v>
      </c>
      <c r="M59" s="119" t="str">
        <f t="shared" si="1"/>
        <v>보통</v>
      </c>
    </row>
    <row r="60" spans="1:13" ht="15.95" customHeight="1" x14ac:dyDescent="0.3">
      <c r="A60" s="117">
        <v>47</v>
      </c>
      <c r="B60" s="117" t="str">
        <f>Stage!C85</f>
        <v>N 047</v>
      </c>
      <c r="C60" s="117">
        <f>Stage!F85</f>
        <v>125</v>
      </c>
      <c r="D60" s="117">
        <f>IF(Stage!G85="",0,LEN(TRIM(Stage!G85))-LEN(SUBSTITUTE(TRIM(Stage!G85),",",""))+1)</f>
        <v>3</v>
      </c>
      <c r="E60" s="117">
        <f>IF(ISERROR(FIND(",",Stage!H85)),VALUE(Stage!H85),(VALUE(LEFT(Stage!H85,FIND(",",Stage!H85)-1))+VALUE(TRIM(MID(Stage!H85,FIND("|",SUBSTITUTE(Stage!H85,",","|",LEN(Stage!H85)-LEN(SUBSTITUTE(Stage!H85,",",""))))+1,100))))/2)</f>
        <v>2</v>
      </c>
      <c r="F60" s="117">
        <f>IF(ISERROR(FIND(",",Stage!I85)),VALUE(Stage!I85),(VALUE(LEFT(Stage!I85,FIND(",",Stage!I85)-1))+VALUE(TRIM(MID(Stage!I85,FIND("|",SUBSTITUTE(Stage!I85,",","|",LEN(Stage!I85)-LEN(SUBSTITUTE(Stage!I85,",",""))))+1,100))))/2)</f>
        <v>0.5</v>
      </c>
      <c r="G60" s="117">
        <f>IF(ISERROR(FIND(",",Stage!J85)),VALUE(Stage!J85),VALUE(LEFT(Stage!J85,FIND(",",Stage!J85)-1)))</f>
        <v>31</v>
      </c>
      <c r="H60" s="117">
        <f>IF(Stage!K85="",0,LEN(TRIM(Stage!K85))-LEN(SUBSTITUTE(TRIM(Stage!K85),",",""))+1)</f>
        <v>3</v>
      </c>
      <c r="I60" s="117">
        <f>Stage!O85+Stage!P85+Stage!N85+Stage!Q85+Stage!M85</f>
        <v>0</v>
      </c>
      <c r="J60" s="117">
        <f>IF(Stage!F85=0,0,I60/Stage!F85)</f>
        <v>0</v>
      </c>
      <c r="K60" s="118">
        <f t="shared" si="0"/>
        <v>31.088950298369983</v>
      </c>
      <c r="L60" s="118">
        <f t="shared" si="2"/>
        <v>32.82842724978974</v>
      </c>
      <c r="M60" s="117" t="str">
        <f t="shared" si="1"/>
        <v>보통</v>
      </c>
    </row>
    <row r="61" spans="1:13" ht="15.95" customHeight="1" x14ac:dyDescent="0.3">
      <c r="A61" s="119">
        <v>48</v>
      </c>
      <c r="B61" s="119" t="str">
        <f>Stage!C86</f>
        <v>N 048</v>
      </c>
      <c r="C61" s="119">
        <f>Stage!F86</f>
        <v>80</v>
      </c>
      <c r="D61" s="119">
        <f>IF(Stage!G86="",0,LEN(TRIM(Stage!G86))-LEN(SUBSTITUTE(TRIM(Stage!G86),",",""))+1)</f>
        <v>2</v>
      </c>
      <c r="E61" s="119">
        <f>IF(ISERROR(FIND(",",Stage!H86)),VALUE(Stage!H86),(VALUE(LEFT(Stage!H86,FIND(",",Stage!H86)-1))+VALUE(TRIM(MID(Stage!H86,FIND("|",SUBSTITUTE(Stage!H86,",","|",LEN(Stage!H86)-LEN(SUBSTITUTE(Stage!H86,",",""))))+1,100))))/2)</f>
        <v>2</v>
      </c>
      <c r="F61" s="119">
        <f>IF(ISERROR(FIND(",",Stage!I86)),VALUE(Stage!I86),(VALUE(LEFT(Stage!I86,FIND(",",Stage!I86)-1))+VALUE(TRIM(MID(Stage!I86,FIND("|",SUBSTITUTE(Stage!I86,",","|",LEN(Stage!I86)-LEN(SUBSTITUTE(Stage!I86,",",""))))+1,100))))/2)</f>
        <v>0.6</v>
      </c>
      <c r="G61" s="119">
        <f>IF(ISERROR(FIND(",",Stage!J86)),VALUE(Stage!J86),VALUE(LEFT(Stage!J86,FIND(",",Stage!J86)-1)))</f>
        <v>20</v>
      </c>
      <c r="H61" s="119">
        <f>IF(Stage!K86="",0,LEN(TRIM(Stage!K86))-LEN(SUBSTITUTE(TRIM(Stage!K86),",",""))+1)</f>
        <v>3</v>
      </c>
      <c r="I61" s="119">
        <f>Stage!O86+Stage!P86+Stage!N86+Stage!Q86+Stage!M86</f>
        <v>0</v>
      </c>
      <c r="J61" s="119">
        <f>IF(Stage!F86=0,0,I61/Stage!F86)</f>
        <v>0</v>
      </c>
      <c r="K61" s="120">
        <f t="shared" si="0"/>
        <v>26.607393167527732</v>
      </c>
      <c r="L61" s="120">
        <f t="shared" si="2"/>
        <v>31.954223236813654</v>
      </c>
      <c r="M61" s="119" t="str">
        <f t="shared" si="1"/>
        <v>보통</v>
      </c>
    </row>
    <row r="62" spans="1:13" ht="15.95" customHeight="1" x14ac:dyDescent="0.3">
      <c r="A62" s="117">
        <v>49</v>
      </c>
      <c r="B62" s="117" t="str">
        <f>Stage!C87</f>
        <v>N 049</v>
      </c>
      <c r="C62" s="117">
        <f>Stage!F87</f>
        <v>135</v>
      </c>
      <c r="D62" s="117">
        <f>IF(Stage!G87="",0,LEN(TRIM(Stage!G87))-LEN(SUBSTITUTE(TRIM(Stage!G87),",",""))+1)</f>
        <v>3</v>
      </c>
      <c r="E62" s="117">
        <f>IF(ISERROR(FIND(",",Stage!H87)),VALUE(Stage!H87),(VALUE(LEFT(Stage!H87,FIND(",",Stage!H87)-1))+VALUE(TRIM(MID(Stage!H87,FIND("|",SUBSTITUTE(Stage!H87,",","|",LEN(Stage!H87)-LEN(SUBSTITUTE(Stage!H87,",",""))))+1,100))))/2)</f>
        <v>2.5</v>
      </c>
      <c r="F62" s="117">
        <f>IF(ISERROR(FIND(",",Stage!I87)),VALUE(Stage!I87),(VALUE(LEFT(Stage!I87,FIND(",",Stage!I87)-1))+VALUE(TRIM(MID(Stage!I87,FIND("|",SUBSTITUTE(Stage!I87,",","|",LEN(Stage!I87)-LEN(SUBSTITUTE(Stage!I87,",",""))))+1,100))))/2)</f>
        <v>0.4</v>
      </c>
      <c r="G62" s="117">
        <f>IF(ISERROR(FIND(",",Stage!J87)),VALUE(Stage!J87),VALUE(LEFT(Stage!J87,FIND(",",Stage!J87)-1)))</f>
        <v>33</v>
      </c>
      <c r="H62" s="117">
        <f>IF(Stage!K87="",0,LEN(TRIM(Stage!K87))-LEN(SUBSTITUTE(TRIM(Stage!K87),",",""))+1)</f>
        <v>3</v>
      </c>
      <c r="I62" s="117">
        <f>Stage!O87+Stage!P87+Stage!N87+Stage!Q87+Stage!M87</f>
        <v>0</v>
      </c>
      <c r="J62" s="117">
        <f>IF(Stage!F87=0,0,I62/Stage!F87)</f>
        <v>0</v>
      </c>
      <c r="K62" s="118">
        <f t="shared" si="0"/>
        <v>35.356241739757294</v>
      </c>
      <c r="L62" s="118">
        <f t="shared" si="2"/>
        <v>31.311666466418359</v>
      </c>
      <c r="M62" s="117" t="str">
        <f t="shared" si="1"/>
        <v>보통</v>
      </c>
    </row>
    <row r="63" spans="1:13" ht="15.95" customHeight="1" x14ac:dyDescent="0.3">
      <c r="A63" s="119">
        <v>50</v>
      </c>
      <c r="B63" s="119" t="str">
        <f>Stage!C88</f>
        <v>N 050</v>
      </c>
      <c r="C63" s="119">
        <f>Stage!F88</f>
        <v>145</v>
      </c>
      <c r="D63" s="119">
        <f>IF(Stage!G88="",0,LEN(TRIM(Stage!G88))-LEN(SUBSTITUTE(TRIM(Stage!G88),",",""))+1)</f>
        <v>3</v>
      </c>
      <c r="E63" s="119">
        <f>IF(ISERROR(FIND(",",Stage!H88)),VALUE(Stage!H88),(VALUE(LEFT(Stage!H88,FIND(",",Stage!H88)-1))+VALUE(TRIM(MID(Stage!H88,FIND("|",SUBSTITUTE(Stage!H88,",","|",LEN(Stage!H88)-LEN(SUBSTITUTE(Stage!H88,",",""))))+1,100))))/2)</f>
        <v>2.5</v>
      </c>
      <c r="F63" s="119">
        <f>IF(ISERROR(FIND(",",Stage!I88)),VALUE(Stage!I88),(VALUE(LEFT(Stage!I88,FIND(",",Stage!I88)-1))+VALUE(TRIM(MID(Stage!I88,FIND("|",SUBSTITUTE(Stage!I88,",","|",LEN(Stage!I88)-LEN(SUBSTITUTE(Stage!I88,",",""))))+1,100))))/2)</f>
        <v>0.4</v>
      </c>
      <c r="G63" s="119">
        <f>IF(ISERROR(FIND(",",Stage!J88)),VALUE(Stage!J88),VALUE(LEFT(Stage!J88,FIND(",",Stage!J88)-1)))</f>
        <v>36</v>
      </c>
      <c r="H63" s="119">
        <f>IF(Stage!K88="",0,LEN(TRIM(Stage!K88))-LEN(SUBSTITUTE(TRIM(Stage!K88),",",""))+1)</f>
        <v>3</v>
      </c>
      <c r="I63" s="119">
        <f>Stage!O88+Stage!P88+Stage!N88+Stage!Q88+Stage!M88</f>
        <v>1</v>
      </c>
      <c r="J63" s="119">
        <f>IF(Stage!F88=0,0,I63/Stage!F88)</f>
        <v>6.8965517241379309E-3</v>
      </c>
      <c r="K63" s="120">
        <f t="shared" si="0"/>
        <v>36.432776643037371</v>
      </c>
      <c r="L63" s="120">
        <f t="shared" si="2"/>
        <v>31.145019824582484</v>
      </c>
      <c r="M63" s="119" t="str">
        <f t="shared" si="1"/>
        <v>보통</v>
      </c>
    </row>
    <row r="64" spans="1:13" ht="15.95" customHeight="1" x14ac:dyDescent="0.3">
      <c r="A64" s="117">
        <v>51</v>
      </c>
      <c r="B64" s="117" t="str">
        <f>Stage!C89</f>
        <v>N 051</v>
      </c>
      <c r="C64" s="117">
        <f>Stage!F89</f>
        <v>70</v>
      </c>
      <c r="D64" s="117">
        <f>IF(Stage!G89="",0,LEN(TRIM(Stage!G89))-LEN(SUBSTITUTE(TRIM(Stage!G89),",",""))+1)</f>
        <v>2</v>
      </c>
      <c r="E64" s="117">
        <f>IF(ISERROR(FIND(",",Stage!H89)),VALUE(Stage!H89),(VALUE(LEFT(Stage!H89,FIND(",",Stage!H89)-1))+VALUE(TRIM(MID(Stage!H89,FIND("|",SUBSTITUTE(Stage!H89,",","|",LEN(Stage!H89)-LEN(SUBSTITUTE(Stage!H89,",",""))))+1,100))))/2)</f>
        <v>2</v>
      </c>
      <c r="F64" s="117">
        <f>IF(ISERROR(FIND(",",Stage!I89)),VALUE(Stage!I89),(VALUE(LEFT(Stage!I89,FIND(",",Stage!I89)-1))+VALUE(TRIM(MID(Stage!I89,FIND("|",SUBSTITUTE(Stage!I89,",","|",LEN(Stage!I89)-LEN(SUBSTITUTE(Stage!I89,",",""))))+1,100))))/2)</f>
        <v>0.6</v>
      </c>
      <c r="G64" s="117">
        <f>IF(ISERROR(FIND(",",Stage!J89)),VALUE(Stage!J89),VALUE(LEFT(Stage!J89,FIND(",",Stage!J89)-1)))</f>
        <v>17</v>
      </c>
      <c r="H64" s="117">
        <f>IF(Stage!K89="",0,LEN(TRIM(Stage!K89))-LEN(SUBSTITUTE(TRIM(Stage!K89),",",""))+1)</f>
        <v>3</v>
      </c>
      <c r="I64" s="117">
        <f>Stage!O89+Stage!P89+Stage!N89+Stage!Q89+Stage!M89</f>
        <v>0</v>
      </c>
      <c r="J64" s="117">
        <f>IF(Stage!F89=0,0,I64/Stage!F89)</f>
        <v>0</v>
      </c>
      <c r="K64" s="118">
        <f t="shared" si="0"/>
        <v>27.072970483399416</v>
      </c>
      <c r="L64" s="118">
        <f t="shared" si="2"/>
        <v>32.053346149225042</v>
      </c>
      <c r="M64" s="117" t="str">
        <f t="shared" si="1"/>
        <v>보통</v>
      </c>
    </row>
    <row r="65" spans="1:13" ht="15.95" customHeight="1" x14ac:dyDescent="0.3">
      <c r="A65" s="119">
        <v>52</v>
      </c>
      <c r="B65" s="119" t="str">
        <f>Stage!C90</f>
        <v>N 052</v>
      </c>
      <c r="C65" s="119">
        <f>Stage!F90</f>
        <v>95</v>
      </c>
      <c r="D65" s="119">
        <f>IF(Stage!G90="",0,LEN(TRIM(Stage!G90))-LEN(SUBSTITUTE(TRIM(Stage!G90),",",""))+1)</f>
        <v>2</v>
      </c>
      <c r="E65" s="119">
        <f>IF(ISERROR(FIND(",",Stage!H90)),VALUE(Stage!H90),(VALUE(LEFT(Stage!H90,FIND(",",Stage!H90)-1))+VALUE(TRIM(MID(Stage!H90,FIND("|",SUBSTITUTE(Stage!H90,",","|",LEN(Stage!H90)-LEN(SUBSTITUTE(Stage!H90,",",""))))+1,100))))/2)</f>
        <v>2</v>
      </c>
      <c r="F65" s="119">
        <f>IF(ISERROR(FIND(",",Stage!I90)),VALUE(Stage!I90),(VALUE(LEFT(Stage!I90,FIND(",",Stage!I90)-1))+VALUE(TRIM(MID(Stage!I90,FIND("|",SUBSTITUTE(Stage!I90,",","|",LEN(Stage!I90)-LEN(SUBSTITUTE(Stage!I90,",",""))))+1,100))))/2)</f>
        <v>0.6</v>
      </c>
      <c r="G65" s="119">
        <f>IF(ISERROR(FIND(",",Stage!J90)),VALUE(Stage!J90),VALUE(LEFT(Stage!J90,FIND(",",Stage!J90)-1)))</f>
        <v>19</v>
      </c>
      <c r="H65" s="119">
        <f>IF(Stage!K90="",0,LEN(TRIM(Stage!K90))-LEN(SUBSTITUTE(TRIM(Stage!K90),",",""))+1)</f>
        <v>4</v>
      </c>
      <c r="I65" s="119">
        <f>Stage!O90+Stage!P90+Stage!N90+Stage!Q90+Stage!M90</f>
        <v>0</v>
      </c>
      <c r="J65" s="119">
        <f>IF(Stage!F90=0,0,I65/Stage!F90)</f>
        <v>0</v>
      </c>
      <c r="K65" s="120">
        <f t="shared" si="0"/>
        <v>30.255717089190593</v>
      </c>
      <c r="L65" s="120">
        <f t="shared" si="2"/>
        <v>31.115783571628821</v>
      </c>
      <c r="M65" s="119" t="str">
        <f t="shared" si="1"/>
        <v>보통</v>
      </c>
    </row>
    <row r="66" spans="1:13" ht="15.95" customHeight="1" x14ac:dyDescent="0.3">
      <c r="A66" s="117">
        <v>53</v>
      </c>
      <c r="B66" s="117" t="str">
        <f>Stage!C91</f>
        <v>N 053</v>
      </c>
      <c r="C66" s="117">
        <f>Stage!F91</f>
        <v>105</v>
      </c>
      <c r="D66" s="117">
        <f>IF(Stage!G91="",0,LEN(TRIM(Stage!G91))-LEN(SUBSTITUTE(TRIM(Stage!G91),",",""))+1)</f>
        <v>3</v>
      </c>
      <c r="E66" s="117">
        <f>IF(ISERROR(FIND(",",Stage!H91)),VALUE(Stage!H91),(VALUE(LEFT(Stage!H91,FIND(",",Stage!H91)-1))+VALUE(TRIM(MID(Stage!H91,FIND("|",SUBSTITUTE(Stage!H91,",","|",LEN(Stage!H91)-LEN(SUBSTITUTE(Stage!H91,",",""))))+1,100))))/2)</f>
        <v>2</v>
      </c>
      <c r="F66" s="117">
        <f>IF(ISERROR(FIND(",",Stage!I91)),VALUE(Stage!I91),(VALUE(LEFT(Stage!I91,FIND(",",Stage!I91)-1))+VALUE(TRIM(MID(Stage!I91,FIND("|",SUBSTITUTE(Stage!I91,",","|",LEN(Stage!I91)-LEN(SUBSTITUTE(Stage!I91,",",""))))+1,100))))/2)</f>
        <v>0.5</v>
      </c>
      <c r="G66" s="117">
        <f>IF(ISERROR(FIND(",",Stage!J91)),VALUE(Stage!J91),VALUE(LEFT(Stage!J91,FIND(",",Stage!J91)-1)))</f>
        <v>26</v>
      </c>
      <c r="H66" s="117">
        <f>IF(Stage!K91="",0,LEN(TRIM(Stage!K91))-LEN(SUBSTITUTE(TRIM(Stage!K91),",",""))+1)</f>
        <v>3</v>
      </c>
      <c r="I66" s="117">
        <f>Stage!O91+Stage!P91+Stage!N91+Stage!Q91+Stage!M91</f>
        <v>0</v>
      </c>
      <c r="J66" s="117">
        <f>IF(Stage!F91=0,0,I66/Stage!F91)</f>
        <v>0</v>
      </c>
      <c r="K66" s="118">
        <f t="shared" si="0"/>
        <v>31.149024790740526</v>
      </c>
      <c r="L66" s="118">
        <f t="shared" si="2"/>
        <v>29.150706876526897</v>
      </c>
      <c r="M66" s="117" t="str">
        <f t="shared" si="1"/>
        <v>보통</v>
      </c>
    </row>
    <row r="67" spans="1:13" ht="15.95" customHeight="1" x14ac:dyDescent="0.3">
      <c r="A67" s="119">
        <v>54</v>
      </c>
      <c r="B67" s="119" t="str">
        <f>Stage!C92</f>
        <v>N 054</v>
      </c>
      <c r="C67" s="119">
        <f>Stage!F92</f>
        <v>120</v>
      </c>
      <c r="D67" s="119">
        <f>IF(Stage!G92="",0,LEN(TRIM(Stage!G92))-LEN(SUBSTITUTE(TRIM(Stage!G92),",",""))+1)</f>
        <v>3</v>
      </c>
      <c r="E67" s="119">
        <f>IF(ISERROR(FIND(",",Stage!H92)),VALUE(Stage!H92),(VALUE(LEFT(Stage!H92,FIND(",",Stage!H92)-1))+VALUE(TRIM(MID(Stage!H92,FIND("|",SUBSTITUTE(Stage!H92,",","|",LEN(Stage!H92)-LEN(SUBSTITUTE(Stage!H92,",",""))))+1,100))))/2)</f>
        <v>2</v>
      </c>
      <c r="F67" s="119">
        <f>IF(ISERROR(FIND(",",Stage!I92)),VALUE(Stage!I92),(VALUE(LEFT(Stage!I92,FIND(",",Stage!I92)-1))+VALUE(TRIM(MID(Stage!I92,FIND("|",SUBSTITUTE(Stage!I92,",","|",LEN(Stage!I92)-LEN(SUBSTITUTE(Stage!I92,",",""))))+1,100))))/2)</f>
        <v>0.5</v>
      </c>
      <c r="G67" s="119">
        <f>IF(ISERROR(FIND(",",Stage!J92)),VALUE(Stage!J92),VALUE(LEFT(Stage!J92,FIND(",",Stage!J92)-1)))</f>
        <v>30</v>
      </c>
      <c r="H67" s="119">
        <f>IF(Stage!K92="",0,LEN(TRIM(Stage!K92))-LEN(SUBSTITUTE(TRIM(Stage!K92),",",""))+1)</f>
        <v>3</v>
      </c>
      <c r="I67" s="119">
        <f>Stage!O92+Stage!P92+Stage!N92+Stage!Q92+Stage!M92</f>
        <v>0</v>
      </c>
      <c r="J67" s="119">
        <f>IF(Stage!F92=0,0,I67/Stage!F92)</f>
        <v>0</v>
      </c>
      <c r="K67" s="120">
        <f t="shared" si="0"/>
        <v>30.668428851776209</v>
      </c>
      <c r="L67" s="120">
        <f t="shared" si="2"/>
        <v>28.158076014257681</v>
      </c>
      <c r="M67" s="119" t="str">
        <f t="shared" si="1"/>
        <v>보통</v>
      </c>
    </row>
    <row r="68" spans="1:13" ht="15.95" customHeight="1" x14ac:dyDescent="0.3">
      <c r="A68" s="117">
        <v>55</v>
      </c>
      <c r="B68" s="117" t="str">
        <f>Stage!C93</f>
        <v>N 055</v>
      </c>
      <c r="C68" s="117">
        <f>Stage!F93</f>
        <v>80</v>
      </c>
      <c r="D68" s="117">
        <f>IF(Stage!G93="",0,LEN(TRIM(Stage!G93))-LEN(SUBSTITUTE(TRIM(Stage!G93),",",""))+1)</f>
        <v>2</v>
      </c>
      <c r="E68" s="117">
        <f>IF(ISERROR(FIND(",",Stage!H93)),VALUE(Stage!H93),(VALUE(LEFT(Stage!H93,FIND(",",Stage!H93)-1))+VALUE(TRIM(MID(Stage!H93,FIND("|",SUBSTITUTE(Stage!H93,",","|",LEN(Stage!H93)-LEN(SUBSTITUTE(Stage!H93,",",""))))+1,100))))/2)</f>
        <v>2</v>
      </c>
      <c r="F68" s="117">
        <f>IF(ISERROR(FIND(",",Stage!I93)),VALUE(Stage!I93),(VALUE(LEFT(Stage!I93,FIND(",",Stage!I93)-1))+VALUE(TRIM(MID(Stage!I93,FIND("|",SUBSTITUTE(Stage!I93,",","|",LEN(Stage!I93)-LEN(SUBSTITUTE(Stage!I93,",",""))))+1,100))))/2)</f>
        <v>0.6</v>
      </c>
      <c r="G68" s="117">
        <f>IF(ISERROR(FIND(",",Stage!J93)),VALUE(Stage!J93),VALUE(LEFT(Stage!J93,FIND(",",Stage!J93)-1)))</f>
        <v>20</v>
      </c>
      <c r="H68" s="117">
        <f>IF(Stage!K93="",0,LEN(TRIM(Stage!K93))-LEN(SUBSTITUTE(TRIM(Stage!K93),",",""))+1)</f>
        <v>3</v>
      </c>
      <c r="I68" s="117">
        <f>Stage!O93+Stage!P93+Stage!N93+Stage!Q93+Stage!M93</f>
        <v>0</v>
      </c>
      <c r="J68" s="117">
        <f>IF(Stage!F93=0,0,I68/Stage!F93)</f>
        <v>0</v>
      </c>
      <c r="K68" s="118">
        <f t="shared" si="0"/>
        <v>26.607393167527732</v>
      </c>
      <c r="L68" s="118">
        <f t="shared" si="2"/>
        <v>27.428411229925111</v>
      </c>
      <c r="M68" s="117" t="str">
        <f t="shared" si="1"/>
        <v>보통</v>
      </c>
    </row>
    <row r="69" spans="1:13" ht="15.95" customHeight="1" x14ac:dyDescent="0.3">
      <c r="A69" s="119">
        <v>56</v>
      </c>
      <c r="B69" s="119" t="str">
        <f>Stage!C94</f>
        <v>N 056</v>
      </c>
      <c r="C69" s="119">
        <f>Stage!F94</f>
        <v>50</v>
      </c>
      <c r="D69" s="119">
        <f>IF(Stage!G94="",0,LEN(TRIM(Stage!G94))-LEN(SUBSTITUTE(TRIM(Stage!G94),",",""))+1)</f>
        <v>2</v>
      </c>
      <c r="E69" s="119">
        <f>IF(ISERROR(FIND(",",Stage!H94)),VALUE(Stage!H94),(VALUE(LEFT(Stage!H94,FIND(",",Stage!H94)-1))+VALUE(TRIM(MID(Stage!H94,FIND("|",SUBSTITUTE(Stage!H94,",","|",LEN(Stage!H94)-LEN(SUBSTITUTE(Stage!H94,",",""))))+1,100))))/2)</f>
        <v>1</v>
      </c>
      <c r="F69" s="119">
        <f>IF(ISERROR(FIND(",",Stage!I94)),VALUE(Stage!I94),(VALUE(LEFT(Stage!I94,FIND(",",Stage!I94)-1))+VALUE(TRIM(MID(Stage!I94,FIND("|",SUBSTITUTE(Stage!I94,",","|",LEN(Stage!I94)-LEN(SUBSTITUTE(Stage!I94,",",""))))+1,100))))/2)</f>
        <v>0.7</v>
      </c>
      <c r="G69" s="119">
        <f>IF(ISERROR(FIND(",",Stage!J94)),VALUE(Stage!J94),VALUE(LEFT(Stage!J94,FIND(",",Stage!J94)-1)))</f>
        <v>12</v>
      </c>
      <c r="H69" s="119">
        <f>IF(Stage!K94="",0,LEN(TRIM(Stage!K94))-LEN(SUBSTITUTE(TRIM(Stage!K94),",",""))+1)</f>
        <v>3</v>
      </c>
      <c r="I69" s="119">
        <f>Stage!O94+Stage!P94+Stage!N94+Stage!Q94+Stage!M94</f>
        <v>0</v>
      </c>
      <c r="J69" s="119">
        <f>IF(Stage!F94=0,0,I69/Stage!F94)</f>
        <v>0</v>
      </c>
      <c r="K69" s="120">
        <f t="shared" si="0"/>
        <v>22.10981617205335</v>
      </c>
      <c r="L69" s="120">
        <f t="shared" si="2"/>
        <v>28.353958909047218</v>
      </c>
      <c r="M69" s="119" t="str">
        <f t="shared" si="1"/>
        <v>쉬움</v>
      </c>
    </row>
    <row r="70" spans="1:13" ht="15.95" customHeight="1" x14ac:dyDescent="0.3">
      <c r="A70" s="117">
        <v>57</v>
      </c>
      <c r="B70" s="117" t="str">
        <f>Stage!C95</f>
        <v>N 057</v>
      </c>
      <c r="C70" s="117">
        <f>Stage!F95</f>
        <v>80</v>
      </c>
      <c r="D70" s="117">
        <f>IF(Stage!G95="",0,LEN(TRIM(Stage!G95))-LEN(SUBSTITUTE(TRIM(Stage!G95),",",""))+1)</f>
        <v>2</v>
      </c>
      <c r="E70" s="117">
        <f>IF(ISERROR(FIND(",",Stage!H95)),VALUE(Stage!H95),(VALUE(LEFT(Stage!H95,FIND(",",Stage!H95)-1))+VALUE(TRIM(MID(Stage!H95,FIND("|",SUBSTITUTE(Stage!H95,",","|",LEN(Stage!H95)-LEN(SUBSTITUTE(Stage!H95,",",""))))+1,100))))/2)</f>
        <v>2</v>
      </c>
      <c r="F70" s="117">
        <f>IF(ISERROR(FIND(",",Stage!I95)),VALUE(Stage!I95),(VALUE(LEFT(Stage!I95,FIND(",",Stage!I95)-1))+VALUE(TRIM(MID(Stage!I95,FIND("|",SUBSTITUTE(Stage!I95,",","|",LEN(Stage!I95)-LEN(SUBSTITUTE(Stage!I95,",",""))))+1,100))))/2)</f>
        <v>0.6</v>
      </c>
      <c r="G70" s="117">
        <f>IF(ISERROR(FIND(",",Stage!J95)),VALUE(Stage!J95),VALUE(LEFT(Stage!J95,FIND(",",Stage!J95)-1)))</f>
        <v>20</v>
      </c>
      <c r="H70" s="117">
        <f>IF(Stage!K95="",0,LEN(TRIM(Stage!K95))-LEN(SUBSTITUTE(TRIM(Stage!K95),",",""))+1)</f>
        <v>3</v>
      </c>
      <c r="I70" s="117">
        <f>Stage!O95+Stage!P95+Stage!N95+Stage!Q95+Stage!M95</f>
        <v>0</v>
      </c>
      <c r="J70" s="117">
        <f>IF(Stage!F95=0,0,I70/Stage!F95)</f>
        <v>0</v>
      </c>
      <c r="K70" s="118">
        <f t="shared" si="0"/>
        <v>26.607393167527732</v>
      </c>
      <c r="L70" s="118">
        <f t="shared" si="2"/>
        <v>28.277424005767148</v>
      </c>
      <c r="M70" s="117" t="str">
        <f t="shared" si="1"/>
        <v>보통</v>
      </c>
    </row>
    <row r="71" spans="1:13" ht="15.95" customHeight="1" x14ac:dyDescent="0.3">
      <c r="A71" s="119">
        <v>58</v>
      </c>
      <c r="B71" s="119" t="str">
        <f>Stage!C96</f>
        <v>N 058</v>
      </c>
      <c r="C71" s="119">
        <f>Stage!F96</f>
        <v>140</v>
      </c>
      <c r="D71" s="119">
        <f>IF(Stage!G96="",0,LEN(TRIM(Stage!G96))-LEN(SUBSTITUTE(TRIM(Stage!G96),",",""))+1)</f>
        <v>3</v>
      </c>
      <c r="E71" s="119">
        <f>IF(ISERROR(FIND(",",Stage!H96)),VALUE(Stage!H96),(VALUE(LEFT(Stage!H96,FIND(",",Stage!H96)-1))+VALUE(TRIM(MID(Stage!H96,FIND("|",SUBSTITUTE(Stage!H96,",","|",LEN(Stage!H96)-LEN(SUBSTITUTE(Stage!H96,",",""))))+1,100))))/2)</f>
        <v>2.5</v>
      </c>
      <c r="F71" s="119">
        <f>IF(ISERROR(FIND(",",Stage!I96)),VALUE(Stage!I96),(VALUE(LEFT(Stage!I96,FIND(",",Stage!I96)-1))+VALUE(TRIM(MID(Stage!I96,FIND("|",SUBSTITUTE(Stage!I96,",","|",LEN(Stage!I96)-LEN(SUBSTITUTE(Stage!I96,",",""))))+1,100))))/2)</f>
        <v>0.4</v>
      </c>
      <c r="G71" s="119">
        <f>IF(ISERROR(FIND(",",Stage!J96)),VALUE(Stage!J96),VALUE(LEFT(Stage!J96,FIND(",",Stage!J96)-1)))</f>
        <v>35</v>
      </c>
      <c r="H71" s="119">
        <f>IF(Stage!K96="",0,LEN(TRIM(Stage!K96))-LEN(SUBSTITUTE(TRIM(Stage!K96),",",""))+1)</f>
        <v>3</v>
      </c>
      <c r="I71" s="119">
        <f>Stage!O96+Stage!P96+Stage!N96+Stage!Q96+Stage!M96</f>
        <v>0</v>
      </c>
      <c r="J71" s="119">
        <f>IF(Stage!F96=0,0,I71/Stage!F96)</f>
        <v>0</v>
      </c>
      <c r="K71" s="120">
        <f t="shared" si="0"/>
        <v>35.776763186351076</v>
      </c>
      <c r="L71" s="120">
        <f t="shared" si="2"/>
        <v>30.027193720213063</v>
      </c>
      <c r="M71" s="119" t="str">
        <f t="shared" si="1"/>
        <v>보통</v>
      </c>
    </row>
    <row r="72" spans="1:13" ht="15.95" customHeight="1" x14ac:dyDescent="0.3">
      <c r="A72" s="117">
        <v>59</v>
      </c>
      <c r="B72" s="117" t="str">
        <f>Stage!C97</f>
        <v>N 059</v>
      </c>
      <c r="C72" s="117">
        <f>Stage!F97</f>
        <v>85</v>
      </c>
      <c r="D72" s="117">
        <f>IF(Stage!G97="",0,LEN(TRIM(Stage!G97))-LEN(SUBSTITUTE(TRIM(Stage!G97),",",""))+1)</f>
        <v>2</v>
      </c>
      <c r="E72" s="117">
        <f>IF(ISERROR(FIND(",",Stage!H97)),VALUE(Stage!H97),(VALUE(LEFT(Stage!H97,FIND(",",Stage!H97)-1))+VALUE(TRIM(MID(Stage!H97,FIND("|",SUBSTITUTE(Stage!H97,",","|",LEN(Stage!H97)-LEN(SUBSTITUTE(Stage!H97,",",""))))+1,100))))/2)</f>
        <v>2</v>
      </c>
      <c r="F72" s="117">
        <f>IF(ISERROR(FIND(",",Stage!I97)),VALUE(Stage!I97),(VALUE(LEFT(Stage!I97,FIND(",",Stage!I97)-1))+VALUE(TRIM(MID(Stage!I97,FIND("|",SUBSTITUTE(Stage!I97,",","|",LEN(Stage!I97)-LEN(SUBSTITUTE(Stage!I97,",",""))))+1,100))))/2)</f>
        <v>0.6</v>
      </c>
      <c r="G72" s="117">
        <f>IF(ISERROR(FIND(",",Stage!J97)),VALUE(Stage!J97),VALUE(LEFT(Stage!J97,FIND(",",Stage!J97)-1)))</f>
        <v>17</v>
      </c>
      <c r="H72" s="117">
        <f>IF(Stage!K97="",0,LEN(TRIM(Stage!K97))-LEN(SUBSTITUTE(TRIM(Stage!K97),",",""))+1)</f>
        <v>4</v>
      </c>
      <c r="I72" s="117">
        <f>Stage!O97+Stage!P97+Stage!N97+Stage!Q97+Stage!M97</f>
        <v>0</v>
      </c>
      <c r="J72" s="117">
        <f>IF(Stage!F97=0,0,I72/Stage!F97)</f>
        <v>0</v>
      </c>
      <c r="K72" s="118">
        <f t="shared" si="0"/>
        <v>30.285754335375863</v>
      </c>
      <c r="L72" s="118">
        <f t="shared" si="2"/>
        <v>31.656373903640514</v>
      </c>
      <c r="M72" s="117" t="str">
        <f t="shared" si="1"/>
        <v>보통</v>
      </c>
    </row>
    <row r="73" spans="1:13" ht="15.95" customHeight="1" x14ac:dyDescent="0.3">
      <c r="A73" s="119">
        <v>60</v>
      </c>
      <c r="B73" s="119" t="str">
        <f>Stage!C98</f>
        <v>N 060</v>
      </c>
      <c r="C73" s="119">
        <f>Stage!F98</f>
        <v>135</v>
      </c>
      <c r="D73" s="119">
        <f>IF(Stage!G98="",0,LEN(TRIM(Stage!G98))-LEN(SUBSTITUTE(TRIM(Stage!G98),",",""))+1)</f>
        <v>3</v>
      </c>
      <c r="E73" s="119">
        <f>IF(ISERROR(FIND(",",Stage!H98)),VALUE(Stage!H98),(VALUE(LEFT(Stage!H98,FIND(",",Stage!H98)-1))+VALUE(TRIM(MID(Stage!H98,FIND("|",SUBSTITUTE(Stage!H98,",","|",LEN(Stage!H98)-LEN(SUBSTITUTE(Stage!H98,",",""))))+1,100))))/2)</f>
        <v>2.5</v>
      </c>
      <c r="F73" s="119">
        <f>IF(ISERROR(FIND(",",Stage!I98)),VALUE(Stage!I98),(VALUE(LEFT(Stage!I98,FIND(",",Stage!I98)-1))+VALUE(TRIM(MID(Stage!I98,FIND("|",SUBSTITUTE(Stage!I98,",","|",LEN(Stage!I98)-LEN(SUBSTITUTE(Stage!I98,",",""))))+1,100))))/2)</f>
        <v>0.4</v>
      </c>
      <c r="G73" s="119">
        <f>IF(ISERROR(FIND(",",Stage!J98)),VALUE(Stage!J98),VALUE(LEFT(Stage!J98,FIND(",",Stage!J98)-1)))</f>
        <v>33</v>
      </c>
      <c r="H73" s="119">
        <f>IF(Stage!K98="",0,LEN(TRIM(Stage!K98))-LEN(SUBSTITUTE(TRIM(Stage!K98),",",""))+1)</f>
        <v>3</v>
      </c>
      <c r="I73" s="119">
        <f>Stage!O98+Stage!P98+Stage!N98+Stage!Q98+Stage!M98</f>
        <v>0</v>
      </c>
      <c r="J73" s="119">
        <f>IF(Stage!F98=0,0,I73/Stage!F98)</f>
        <v>0</v>
      </c>
      <c r="K73" s="120">
        <f t="shared" si="0"/>
        <v>35.356241739757294</v>
      </c>
      <c r="L73" s="120">
        <f t="shared" si="2"/>
        <v>32.558692779046012</v>
      </c>
      <c r="M73" s="119" t="str">
        <f t="shared" si="1"/>
        <v>보통</v>
      </c>
    </row>
    <row r="74" spans="1:13" ht="15.95" customHeight="1" x14ac:dyDescent="0.3">
      <c r="A74" s="117">
        <v>61</v>
      </c>
      <c r="B74" s="117" t="str">
        <f>Stage!C99</f>
        <v>N 061</v>
      </c>
      <c r="C74" s="117">
        <f>Stage!F99</f>
        <v>95</v>
      </c>
      <c r="D74" s="117">
        <f>IF(Stage!G99="",0,LEN(TRIM(Stage!G99))-LEN(SUBSTITUTE(TRIM(Stage!G99),",",""))+1)</f>
        <v>2</v>
      </c>
      <c r="E74" s="117">
        <f>IF(ISERROR(FIND(",",Stage!H99)),VALUE(Stage!H99),(VALUE(LEFT(Stage!H99,FIND(",",Stage!H99)-1))+VALUE(TRIM(MID(Stage!H99,FIND("|",SUBSTITUTE(Stage!H99,",","|",LEN(Stage!H99)-LEN(SUBSTITUTE(Stage!H99,",",""))))+1,100))))/2)</f>
        <v>2</v>
      </c>
      <c r="F74" s="117">
        <f>IF(ISERROR(FIND(",",Stage!I99)),VALUE(Stage!I99),(VALUE(LEFT(Stage!I99,FIND(",",Stage!I99)-1))+VALUE(TRIM(MID(Stage!I99,FIND("|",SUBSTITUTE(Stage!I99,",","|",LEN(Stage!I99)-LEN(SUBSTITUTE(Stage!I99,",",""))))+1,100))))/2)</f>
        <v>0.6</v>
      </c>
      <c r="G74" s="117">
        <f>IF(ISERROR(FIND(",",Stage!J99)),VALUE(Stage!J99),VALUE(LEFT(Stage!J99,FIND(",",Stage!J99)-1)))</f>
        <v>19</v>
      </c>
      <c r="H74" s="117">
        <f>IF(Stage!K99="",0,LEN(TRIM(Stage!K99))-LEN(SUBSTITUTE(TRIM(Stage!K99),",",""))+1)</f>
        <v>4</v>
      </c>
      <c r="I74" s="117">
        <f>Stage!O99+Stage!P99+Stage!N99+Stage!Q99+Stage!M99</f>
        <v>0</v>
      </c>
      <c r="J74" s="117">
        <f>IF(Stage!F99=0,0,I74/Stage!F99)</f>
        <v>0</v>
      </c>
      <c r="K74" s="118">
        <f t="shared" si="0"/>
        <v>30.255717089190593</v>
      </c>
      <c r="L74" s="118">
        <f t="shared" si="2"/>
        <v>34.699587488485726</v>
      </c>
      <c r="M74" s="117" t="str">
        <f t="shared" si="1"/>
        <v>보통</v>
      </c>
    </row>
    <row r="75" spans="1:13" ht="15.95" customHeight="1" x14ac:dyDescent="0.3">
      <c r="A75" s="119">
        <v>62</v>
      </c>
      <c r="B75" s="119" t="str">
        <f>Stage!C100</f>
        <v>N 062</v>
      </c>
      <c r="C75" s="119">
        <f>Stage!F100</f>
        <v>115</v>
      </c>
      <c r="D75" s="119">
        <f>IF(Stage!G100="",0,LEN(TRIM(Stage!G100))-LEN(SUBSTITUTE(TRIM(Stage!G100),",",""))+1)</f>
        <v>3</v>
      </c>
      <c r="E75" s="119">
        <f>IF(ISERROR(FIND(",",Stage!H100)),VALUE(Stage!H100),(VALUE(LEFT(Stage!H100,FIND(",",Stage!H100)-1))+VALUE(TRIM(MID(Stage!H100,FIND("|",SUBSTITUTE(Stage!H100,",","|",LEN(Stage!H100)-LEN(SUBSTITUTE(Stage!H100,",",""))))+1,100))))/2)</f>
        <v>2</v>
      </c>
      <c r="F75" s="119">
        <f>IF(ISERROR(FIND(",",Stage!I100)),VALUE(Stage!I100),(VALUE(LEFT(Stage!I100,FIND(",",Stage!I100)-1))+VALUE(TRIM(MID(Stage!I100,FIND("|",SUBSTITUTE(Stage!I100,",","|",LEN(Stage!I100)-LEN(SUBSTITUTE(Stage!I100,",",""))))+1,100))))/2)</f>
        <v>0.5</v>
      </c>
      <c r="G75" s="119">
        <f>IF(ISERROR(FIND(",",Stage!J100)),VALUE(Stage!J100),VALUE(LEFT(Stage!J100,FIND(",",Stage!J100)-1)))</f>
        <v>28</v>
      </c>
      <c r="H75" s="119">
        <f>IF(Stage!K100="",0,LEN(TRIM(Stage!K100))-LEN(SUBSTITUTE(TRIM(Stage!K100),",",""))+1)</f>
        <v>3</v>
      </c>
      <c r="I75" s="119">
        <f>Stage!O100+Stage!P100+Stage!N100+Stage!Q100+Stage!M100</f>
        <v>0</v>
      </c>
      <c r="J75" s="119">
        <f>IF(Stage!F100=0,0,I75/Stage!F100)</f>
        <v>0</v>
      </c>
      <c r="K75" s="120">
        <f t="shared" si="0"/>
        <v>31.118987544555253</v>
      </c>
      <c r="L75" s="120">
        <f t="shared" si="2"/>
        <v>35.797789258680766</v>
      </c>
      <c r="M75" s="119" t="str">
        <f t="shared" si="1"/>
        <v>보통</v>
      </c>
    </row>
    <row r="76" spans="1:13" ht="15.95" customHeight="1" x14ac:dyDescent="0.3">
      <c r="A76" s="117">
        <v>63</v>
      </c>
      <c r="B76" s="117" t="str">
        <f>Stage!C101</f>
        <v>N 063</v>
      </c>
      <c r="C76" s="117">
        <f>Stage!F101</f>
        <v>180</v>
      </c>
      <c r="D76" s="117">
        <f>IF(Stage!G101="",0,LEN(TRIM(Stage!G101))-LEN(SUBSTITUTE(TRIM(Stage!G101),",",""))+1)</f>
        <v>3</v>
      </c>
      <c r="E76" s="117">
        <f>IF(ISERROR(FIND(",",Stage!H101)),VALUE(Stage!H101),(VALUE(LEFT(Stage!H101,FIND(",",Stage!H101)-1))+VALUE(TRIM(MID(Stage!H101,FIND("|",SUBSTITUTE(Stage!H101,",","|",LEN(Stage!H101)-LEN(SUBSTITUTE(Stage!H101,",",""))))+1,100))))/2)</f>
        <v>3</v>
      </c>
      <c r="F76" s="117">
        <f>IF(ISERROR(FIND(",",Stage!I101)),VALUE(Stage!I101),(VALUE(LEFT(Stage!I101,FIND(",",Stage!I101)-1))+VALUE(TRIM(MID(Stage!I101,FIND("|",SUBSTITUTE(Stage!I101,",","|",LEN(Stage!I101)-LEN(SUBSTITUTE(Stage!I101,",",""))))+1,100))))/2)</f>
        <v>0.2</v>
      </c>
      <c r="G76" s="117">
        <f>IF(ISERROR(FIND(",",Stage!J101)),VALUE(Stage!J101),VALUE(LEFT(Stage!J101,FIND(",",Stage!J101)-1)))</f>
        <v>36</v>
      </c>
      <c r="H76" s="117">
        <f>IF(Stage!K101="",0,LEN(TRIM(Stage!K101))-LEN(SUBSTITUTE(TRIM(Stage!K101),",",""))+1)</f>
        <v>4</v>
      </c>
      <c r="I76" s="117">
        <f>Stage!O101+Stage!P101+Stage!N101+Stage!Q101+Stage!M101</f>
        <v>3</v>
      </c>
      <c r="J76" s="117">
        <f>IF(Stage!F101=0,0,I76/Stage!F101)</f>
        <v>1.6666666666666666E-2</v>
      </c>
      <c r="K76" s="118">
        <f t="shared" si="0"/>
        <v>46.481236733549608</v>
      </c>
      <c r="L76" s="118">
        <f t="shared" si="2"/>
        <v>35.713684969362006</v>
      </c>
      <c r="M76" s="117" t="str">
        <f t="shared" si="1"/>
        <v>어려움</v>
      </c>
    </row>
    <row r="77" spans="1:13" ht="15.95" customHeight="1" x14ac:dyDescent="0.3">
      <c r="A77" s="119">
        <v>64</v>
      </c>
      <c r="B77" s="119" t="str">
        <f>Stage!C102</f>
        <v>N 064</v>
      </c>
      <c r="C77" s="119">
        <f>Stage!F102</f>
        <v>140</v>
      </c>
      <c r="D77" s="119">
        <f>IF(Stage!G102="",0,LEN(TRIM(Stage!G102))-LEN(SUBSTITUTE(TRIM(Stage!G102),",",""))+1)</f>
        <v>3</v>
      </c>
      <c r="E77" s="119">
        <f>IF(ISERROR(FIND(",",Stage!H102)),VALUE(Stage!H102),(VALUE(LEFT(Stage!H102,FIND(",",Stage!H102)-1))+VALUE(TRIM(MID(Stage!H102,FIND("|",SUBSTITUTE(Stage!H102,",","|",LEN(Stage!H102)-LEN(SUBSTITUTE(Stage!H102,",",""))))+1,100))))/2)</f>
        <v>2.5</v>
      </c>
      <c r="F77" s="119">
        <f>IF(ISERROR(FIND(",",Stage!I102)),VALUE(Stage!I102),(VALUE(LEFT(Stage!I102,FIND(",",Stage!I102)-1))+VALUE(TRIM(MID(Stage!I102,FIND("|",SUBSTITUTE(Stage!I102,",","|",LEN(Stage!I102)-LEN(SUBSTITUTE(Stage!I102,",",""))))+1,100))))/2)</f>
        <v>0.4</v>
      </c>
      <c r="G77" s="119">
        <f>IF(ISERROR(FIND(",",Stage!J102)),VALUE(Stage!J102),VALUE(LEFT(Stage!J102,FIND(",",Stage!J102)-1)))</f>
        <v>35</v>
      </c>
      <c r="H77" s="119">
        <f>IF(Stage!K102="",0,LEN(TRIM(Stage!K102))-LEN(SUBSTITUTE(TRIM(Stage!K102),",",""))+1)</f>
        <v>3</v>
      </c>
      <c r="I77" s="119">
        <f>Stage!O102+Stage!P102+Stage!N102+Stage!Q102+Stage!M102</f>
        <v>0</v>
      </c>
      <c r="J77" s="119">
        <f>IF(Stage!F102=0,0,I77/Stage!F102)</f>
        <v>0</v>
      </c>
      <c r="K77" s="120">
        <f t="shared" si="0"/>
        <v>35.776763186351076</v>
      </c>
      <c r="L77" s="120">
        <f t="shared" si="2"/>
        <v>35.895350234290518</v>
      </c>
      <c r="M77" s="119" t="str">
        <f t="shared" si="1"/>
        <v>보통</v>
      </c>
    </row>
    <row r="78" spans="1:13" ht="15.95" customHeight="1" x14ac:dyDescent="0.3">
      <c r="A78" s="117">
        <v>65</v>
      </c>
      <c r="B78" s="117" t="str">
        <f>Stage!C103</f>
        <v>N 065</v>
      </c>
      <c r="C78" s="117">
        <f>Stage!F103</f>
        <v>130</v>
      </c>
      <c r="D78" s="117">
        <f>IF(Stage!G103="",0,LEN(TRIM(Stage!G103))-LEN(SUBSTITUTE(TRIM(Stage!G103),",",""))+1)</f>
        <v>3</v>
      </c>
      <c r="E78" s="117">
        <f>IF(ISERROR(FIND(",",Stage!H103)),VALUE(Stage!H103),(VALUE(LEFT(Stage!H103,FIND(",",Stage!H103)-1))+VALUE(TRIM(MID(Stage!H103,FIND("|",SUBSTITUTE(Stage!H103,",","|",LEN(Stage!H103)-LEN(SUBSTITUTE(Stage!H103,",",""))))+1,100))))/2)</f>
        <v>2.5</v>
      </c>
      <c r="F78" s="117">
        <f>IF(ISERROR(FIND(",",Stage!I103)),VALUE(Stage!I103),(VALUE(LEFT(Stage!I103,FIND(",",Stage!I103)-1))+VALUE(TRIM(MID(Stage!I103,FIND("|",SUBSTITUTE(Stage!I103,",","|",LEN(Stage!I103)-LEN(SUBSTITUTE(Stage!I103,",",""))))+1,100))))/2)</f>
        <v>0.4</v>
      </c>
      <c r="G78" s="117">
        <f>IF(ISERROR(FIND(",",Stage!J103)),VALUE(Stage!J103),VALUE(LEFT(Stage!J103,FIND(",",Stage!J103)-1)))</f>
        <v>32</v>
      </c>
      <c r="H78" s="117">
        <f>IF(Stage!K103="",0,LEN(TRIM(Stage!K103))-LEN(SUBSTITUTE(TRIM(Stage!K103),",",""))+1)</f>
        <v>3</v>
      </c>
      <c r="I78" s="117">
        <f>Stage!O103+Stage!P103+Stage!N103+Stage!Q103+Stage!M103</f>
        <v>0</v>
      </c>
      <c r="J78" s="117">
        <f>IF(Stage!F103=0,0,I78/Stage!F103)</f>
        <v>0</v>
      </c>
      <c r="K78" s="118">
        <f t="shared" ref="K78:K141" si="3">(MAX(0,MIN(1,(C78-$E$3)/MAX($F$3-$E$3,0.0001)))*$C$3+MAX(0,MIN(1,(D78-$E$4)/MAX($F$4-$E$4,0.0001)))*$C$4+MAX(0,MIN(1,(E78-$E$5)/MAX($F$5-$E$5,0.0001)))*$C$5+(1-MAX(0,MIN(1,(F78-$E$6)/MAX($F$6-$E$6,0.0001))))*$C$6+(1-MAX(0,MIN(1,(G78-$E$7)/MAX($F$7-$E$7,0.0001))))*$C$7+MAX(0,MIN(1,(H78-$E$8)/MAX($F$8-$E$8,0.0001)))*$C$8+MAX(0,MIN(1,(J78-$E$9)/MAX($F$9-$E$9,0.0001)))*$C$9)/$C$10*100</f>
        <v>34.93572029316352</v>
      </c>
      <c r="L78" s="118">
        <f t="shared" si="2"/>
        <v>35.898353958909048</v>
      </c>
      <c r="M78" s="117" t="str">
        <f t="shared" ref="M78:M141" si="4">IF(K78&lt;25,"쉬움",IF(K78&lt;45,"보통",IF(K78&lt;60,"어려움",IF(K78&lt;75,"매우어려움","극악"))))</f>
        <v>보통</v>
      </c>
    </row>
    <row r="79" spans="1:13" ht="15.95" customHeight="1" x14ac:dyDescent="0.3">
      <c r="A79" s="119">
        <v>66</v>
      </c>
      <c r="B79" s="119" t="str">
        <f>Stage!C104</f>
        <v>N 066</v>
      </c>
      <c r="C79" s="119">
        <f>Stage!F104</f>
        <v>100</v>
      </c>
      <c r="D79" s="119">
        <f>IF(Stage!G104="",0,LEN(TRIM(Stage!G104))-LEN(SUBSTITUTE(TRIM(Stage!G104),",",""))+1)</f>
        <v>3</v>
      </c>
      <c r="E79" s="119">
        <f>IF(ISERROR(FIND(",",Stage!H104)),VALUE(Stage!H104),(VALUE(LEFT(Stage!H104,FIND(",",Stage!H104)-1))+VALUE(TRIM(MID(Stage!H104,FIND("|",SUBSTITUTE(Stage!H104,",","|",LEN(Stage!H104)-LEN(SUBSTITUTE(Stage!H104,",",""))))+1,100))))/2)</f>
        <v>2</v>
      </c>
      <c r="F79" s="119">
        <f>IF(ISERROR(FIND(",",Stage!I104)),VALUE(Stage!I104),(VALUE(LEFT(Stage!I104,FIND(",",Stage!I104)-1))+VALUE(TRIM(MID(Stage!I104,FIND("|",SUBSTITUTE(Stage!I104,",","|",LEN(Stage!I104)-LEN(SUBSTITUTE(Stage!I104,",",""))))+1,100))))/2)</f>
        <v>0.5</v>
      </c>
      <c r="G79" s="119">
        <f>IF(ISERROR(FIND(",",Stage!J104)),VALUE(Stage!J104),VALUE(LEFT(Stage!J104,FIND(",",Stage!J104)-1)))</f>
        <v>25</v>
      </c>
      <c r="H79" s="119">
        <f>IF(Stage!K104="",0,LEN(TRIM(Stage!K104))-LEN(SUBSTITUTE(TRIM(Stage!K104),",",""))+1)</f>
        <v>3</v>
      </c>
      <c r="I79" s="119">
        <f>Stage!O104+Stage!P104+Stage!N104+Stage!Q104+Stage!M104</f>
        <v>0</v>
      </c>
      <c r="J79" s="119">
        <f>IF(Stage!F104=0,0,I79/Stage!F104)</f>
        <v>0</v>
      </c>
      <c r="K79" s="120">
        <f t="shared" si="3"/>
        <v>31.164043413833152</v>
      </c>
      <c r="L79" s="120">
        <f t="shared" si="2"/>
        <v>35.417922930315939</v>
      </c>
      <c r="M79" s="119" t="str">
        <f t="shared" si="4"/>
        <v>보통</v>
      </c>
    </row>
    <row r="80" spans="1:13" ht="15.95" customHeight="1" x14ac:dyDescent="0.3">
      <c r="A80" s="117">
        <v>67</v>
      </c>
      <c r="B80" s="117" t="str">
        <f>Stage!C105</f>
        <v>N 067</v>
      </c>
      <c r="C80" s="117">
        <f>Stage!F105</f>
        <v>110</v>
      </c>
      <c r="D80" s="117">
        <f>IF(Stage!G105="",0,LEN(TRIM(Stage!G105))-LEN(SUBSTITUTE(TRIM(Stage!G105),",",""))+1)</f>
        <v>3</v>
      </c>
      <c r="E80" s="117">
        <f>IF(ISERROR(FIND(",",Stage!H105)),VALUE(Stage!H105),(VALUE(LEFT(Stage!H105,FIND(",",Stage!H105)-1))+VALUE(TRIM(MID(Stage!H105,FIND("|",SUBSTITUTE(Stage!H105,",","|",LEN(Stage!H105)-LEN(SUBSTITUTE(Stage!H105,",",""))))+1,100))))/2)</f>
        <v>2</v>
      </c>
      <c r="F80" s="117">
        <f>IF(ISERROR(FIND(",",Stage!I105)),VALUE(Stage!I105),(VALUE(LEFT(Stage!I105,FIND(",",Stage!I105)-1))+VALUE(TRIM(MID(Stage!I105,FIND("|",SUBSTITUTE(Stage!I105,",","|",LEN(Stage!I105)-LEN(SUBSTITUTE(Stage!I105,",",""))))+1,100))))/2)</f>
        <v>0.5</v>
      </c>
      <c r="G80" s="117">
        <f>IF(ISERROR(FIND(",",Stage!J105)),VALUE(Stage!J105),VALUE(LEFT(Stage!J105,FIND(",",Stage!J105)-1)))</f>
        <v>27</v>
      </c>
      <c r="H80" s="117">
        <f>IF(Stage!K105="",0,LEN(TRIM(Stage!K105))-LEN(SUBSTITUTE(TRIM(Stage!K105),",",""))+1)</f>
        <v>3</v>
      </c>
      <c r="I80" s="117">
        <f>Stage!O105+Stage!P105+Stage!N105+Stage!Q105+Stage!M105</f>
        <v>0</v>
      </c>
      <c r="J80" s="117">
        <f>IF(Stage!F105=0,0,I80/Stage!F105)</f>
        <v>0</v>
      </c>
      <c r="K80" s="118">
        <f t="shared" si="3"/>
        <v>31.134006167647883</v>
      </c>
      <c r="L80" s="118">
        <f t="shared" ref="L80:L143" si="5">AVERAGE(K78:K82)</f>
        <v>34.585490714368163</v>
      </c>
      <c r="M80" s="117" t="str">
        <f t="shared" si="4"/>
        <v>보통</v>
      </c>
    </row>
    <row r="81" spans="1:13" ht="15.95" customHeight="1" x14ac:dyDescent="0.3">
      <c r="A81" s="119">
        <v>68</v>
      </c>
      <c r="B81" s="119" t="str">
        <f>Stage!C106</f>
        <v>N 068</v>
      </c>
      <c r="C81" s="119">
        <f>Stage!F106</f>
        <v>170</v>
      </c>
      <c r="D81" s="119">
        <f>IF(Stage!G106="",0,LEN(TRIM(Stage!G106))-LEN(SUBSTITUTE(TRIM(Stage!G106),",",""))+1)</f>
        <v>3</v>
      </c>
      <c r="E81" s="119">
        <f>IF(ISERROR(FIND(",",Stage!H106)),VALUE(Stage!H106),(VALUE(LEFT(Stage!H106,FIND(",",Stage!H106)-1))+VALUE(TRIM(MID(Stage!H106,FIND("|",SUBSTITUTE(Stage!H106,",","|",LEN(Stage!H106)-LEN(SUBSTITUTE(Stage!H106,",",""))))+1,100))))/2)</f>
        <v>3</v>
      </c>
      <c r="F81" s="119">
        <f>IF(ISERROR(FIND(",",Stage!I106)),VALUE(Stage!I106),(VALUE(LEFT(Stage!I106,FIND(",",Stage!I106)-1))+VALUE(TRIM(MID(Stage!I106,FIND("|",SUBSTITUTE(Stage!I106,",","|",LEN(Stage!I106)-LEN(SUBSTITUTE(Stage!I106,",",""))))+1,100))))/2)</f>
        <v>0.3</v>
      </c>
      <c r="G81" s="119">
        <f>IF(ISERROR(FIND(",",Stage!J106)),VALUE(Stage!J106),VALUE(LEFT(Stage!J106,FIND(",",Stage!J106)-1)))</f>
        <v>34</v>
      </c>
      <c r="H81" s="119">
        <f>IF(Stage!K106="",0,LEN(TRIM(Stage!K106))-LEN(SUBSTITUTE(TRIM(Stage!K106),",",""))+1)</f>
        <v>4</v>
      </c>
      <c r="I81" s="119">
        <f>Stage!O106+Stage!P106+Stage!N106+Stage!Q106+Stage!M106</f>
        <v>2</v>
      </c>
      <c r="J81" s="119">
        <f>IF(Stage!F106=0,0,I81/Stage!F106)</f>
        <v>1.1764705882352941E-2</v>
      </c>
      <c r="K81" s="120">
        <f t="shared" si="3"/>
        <v>44.079081590584082</v>
      </c>
      <c r="L81" s="120">
        <f t="shared" si="5"/>
        <v>33.82214416464651</v>
      </c>
      <c r="M81" s="119" t="str">
        <f t="shared" si="4"/>
        <v>보통</v>
      </c>
    </row>
    <row r="82" spans="1:13" ht="15.95" customHeight="1" x14ac:dyDescent="0.3">
      <c r="A82" s="117">
        <v>69</v>
      </c>
      <c r="B82" s="117" t="str">
        <f>Stage!C107</f>
        <v>N 069</v>
      </c>
      <c r="C82" s="117">
        <f>Stage!F107</f>
        <v>95</v>
      </c>
      <c r="D82" s="117">
        <f>IF(Stage!G107="",0,LEN(TRIM(Stage!G107))-LEN(SUBSTITUTE(TRIM(Stage!G107),",",""))+1)</f>
        <v>3</v>
      </c>
      <c r="E82" s="117">
        <f>IF(ISERROR(FIND(",",Stage!H107)),VALUE(Stage!H107),(VALUE(LEFT(Stage!H107,FIND(",",Stage!H107)-1))+VALUE(TRIM(MID(Stage!H107,FIND("|",SUBSTITUTE(Stage!H107,",","|",LEN(Stage!H107)-LEN(SUBSTITUTE(Stage!H107,",",""))))+1,100))))/2)</f>
        <v>2</v>
      </c>
      <c r="F82" s="117">
        <f>IF(ISERROR(FIND(",",Stage!I107)),VALUE(Stage!I107),(VALUE(LEFT(Stage!I107,FIND(",",Stage!I107)-1))+VALUE(TRIM(MID(Stage!I107,FIND("|",SUBSTITUTE(Stage!I107,",","|",LEN(Stage!I107)-LEN(SUBSTITUTE(Stage!I107,",",""))))+1,100))))/2)</f>
        <v>0.5</v>
      </c>
      <c r="G82" s="117">
        <f>IF(ISERROR(FIND(",",Stage!J107)),VALUE(Stage!J107),VALUE(LEFT(Stage!J107,FIND(",",Stage!J107)-1)))</f>
        <v>23</v>
      </c>
      <c r="H82" s="117">
        <f>IF(Stage!K107="",0,LEN(TRIM(Stage!K107))-LEN(SUBSTITUTE(TRIM(Stage!K107),",",""))+1)</f>
        <v>3</v>
      </c>
      <c r="I82" s="117">
        <f>Stage!O107+Stage!P107+Stage!N107+Stage!Q107+Stage!M107</f>
        <v>0</v>
      </c>
      <c r="J82" s="117">
        <f>IF(Stage!F107=0,0,I82/Stage!F107)</f>
        <v>0</v>
      </c>
      <c r="K82" s="118">
        <f t="shared" si="3"/>
        <v>31.6146021066122</v>
      </c>
      <c r="L82" s="118">
        <f t="shared" si="5"/>
        <v>33.643482624336528</v>
      </c>
      <c r="M82" s="117" t="str">
        <f t="shared" si="4"/>
        <v>보통</v>
      </c>
    </row>
    <row r="83" spans="1:13" ht="15.95" customHeight="1" x14ac:dyDescent="0.3">
      <c r="A83" s="119">
        <v>70</v>
      </c>
      <c r="B83" s="119" t="str">
        <f>Stage!C108</f>
        <v>N 070</v>
      </c>
      <c r="C83" s="119">
        <f>Stage!F108</f>
        <v>115</v>
      </c>
      <c r="D83" s="119">
        <f>IF(Stage!G108="",0,LEN(TRIM(Stage!G108))-LEN(SUBSTITUTE(TRIM(Stage!G108),",",""))+1)</f>
        <v>3</v>
      </c>
      <c r="E83" s="119">
        <f>IF(ISERROR(FIND(",",Stage!H108)),VALUE(Stage!H108),(VALUE(LEFT(Stage!H108,FIND(",",Stage!H108)-1))+VALUE(TRIM(MID(Stage!H108,FIND("|",SUBSTITUTE(Stage!H108,",","|",LEN(Stage!H108)-LEN(SUBSTITUTE(Stage!H108,",",""))))+1,100))))/2)</f>
        <v>2</v>
      </c>
      <c r="F83" s="119">
        <f>IF(ISERROR(FIND(",",Stage!I108)),VALUE(Stage!I108),(VALUE(LEFT(Stage!I108,FIND(",",Stage!I108)-1))+VALUE(TRIM(MID(Stage!I108,FIND("|",SUBSTITUTE(Stage!I108,",","|",LEN(Stage!I108)-LEN(SUBSTITUTE(Stage!I108,",",""))))+1,100))))/2)</f>
        <v>0.5</v>
      </c>
      <c r="G83" s="119">
        <f>IF(ISERROR(FIND(",",Stage!J108)),VALUE(Stage!J108),VALUE(LEFT(Stage!J108,FIND(",",Stage!J108)-1)))</f>
        <v>28</v>
      </c>
      <c r="H83" s="119">
        <f>IF(Stage!K108="",0,LEN(TRIM(Stage!K108))-LEN(SUBSTITUTE(TRIM(Stage!K108),",",""))+1)</f>
        <v>3</v>
      </c>
      <c r="I83" s="119">
        <f>Stage!O108+Stage!P108+Stage!N108+Stage!Q108+Stage!M108</f>
        <v>0</v>
      </c>
      <c r="J83" s="119">
        <f>IF(Stage!F108=0,0,I83/Stage!F108)</f>
        <v>0</v>
      </c>
      <c r="K83" s="120">
        <f t="shared" si="3"/>
        <v>31.118987544555253</v>
      </c>
      <c r="L83" s="120">
        <f t="shared" si="5"/>
        <v>32.831275487486835</v>
      </c>
      <c r="M83" s="119" t="str">
        <f t="shared" si="4"/>
        <v>보통</v>
      </c>
    </row>
    <row r="84" spans="1:13" ht="15.95" customHeight="1" x14ac:dyDescent="0.3">
      <c r="A84" s="117">
        <v>71</v>
      </c>
      <c r="B84" s="117" t="str">
        <f>Stage!C109</f>
        <v>N 071</v>
      </c>
      <c r="C84" s="117">
        <f>Stage!F109</f>
        <v>90</v>
      </c>
      <c r="D84" s="117">
        <f>IF(Stage!G109="",0,LEN(TRIM(Stage!G109))-LEN(SUBSTITUTE(TRIM(Stage!G109),",",""))+1)</f>
        <v>2</v>
      </c>
      <c r="E84" s="117">
        <f>IF(ISERROR(FIND(",",Stage!H109)),VALUE(Stage!H109),(VALUE(LEFT(Stage!H109,FIND(",",Stage!H109)-1))+VALUE(TRIM(MID(Stage!H109,FIND("|",SUBSTITUTE(Stage!H109,",","|",LEN(Stage!H109)-LEN(SUBSTITUTE(Stage!H109,",",""))))+1,100))))/2)</f>
        <v>2</v>
      </c>
      <c r="F84" s="117">
        <f>IF(ISERROR(FIND(",",Stage!I109)),VALUE(Stage!I109),(VALUE(LEFT(Stage!I109,FIND(",",Stage!I109)-1))+VALUE(TRIM(MID(Stage!I109,FIND("|",SUBSTITUTE(Stage!I109,",","|",LEN(Stage!I109)-LEN(SUBSTITUTE(Stage!I109,",",""))))+1,100))))/2)</f>
        <v>0.6</v>
      </c>
      <c r="G84" s="117">
        <f>IF(ISERROR(FIND(",",Stage!J109)),VALUE(Stage!J109),VALUE(LEFT(Stage!J109,FIND(",",Stage!J109)-1)))</f>
        <v>18</v>
      </c>
      <c r="H84" s="117">
        <f>IF(Stage!K109="",0,LEN(TRIM(Stage!K109))-LEN(SUBSTITUTE(TRIM(Stage!K109),",",""))+1)</f>
        <v>4</v>
      </c>
      <c r="I84" s="117">
        <f>Stage!O109+Stage!P109+Stage!N109+Stage!Q109+Stage!M109</f>
        <v>0</v>
      </c>
      <c r="J84" s="117">
        <f>IF(Stage!F109=0,0,I84/Stage!F109)</f>
        <v>0</v>
      </c>
      <c r="K84" s="118">
        <f t="shared" si="3"/>
        <v>30.270735712283237</v>
      </c>
      <c r="L84" s="118">
        <f t="shared" si="5"/>
        <v>33.42964952216424</v>
      </c>
      <c r="M84" s="117" t="str">
        <f t="shared" si="4"/>
        <v>보통</v>
      </c>
    </row>
    <row r="85" spans="1:13" ht="15.95" customHeight="1" x14ac:dyDescent="0.3">
      <c r="A85" s="119">
        <v>72</v>
      </c>
      <c r="B85" s="119" t="str">
        <f>Stage!C110</f>
        <v>N 072</v>
      </c>
      <c r="C85" s="119">
        <f>Stage!F110</f>
        <v>70</v>
      </c>
      <c r="D85" s="119">
        <f>IF(Stage!G110="",0,LEN(TRIM(Stage!G110))-LEN(SUBSTITUTE(TRIM(Stage!G110),",",""))+1)</f>
        <v>2</v>
      </c>
      <c r="E85" s="119">
        <f>IF(ISERROR(FIND(",",Stage!H110)),VALUE(Stage!H110),(VALUE(LEFT(Stage!H110,FIND(",",Stage!H110)-1))+VALUE(TRIM(MID(Stage!H110,FIND("|",SUBSTITUTE(Stage!H110,",","|",LEN(Stage!H110)-LEN(SUBSTITUTE(Stage!H110,",",""))))+1,100))))/2)</f>
        <v>2</v>
      </c>
      <c r="F85" s="119">
        <f>IF(ISERROR(FIND(",",Stage!I110)),VALUE(Stage!I110),(VALUE(LEFT(Stage!I110,FIND(",",Stage!I110)-1))+VALUE(TRIM(MID(Stage!I110,FIND("|",SUBSTITUTE(Stage!I110,",","|",LEN(Stage!I110)-LEN(SUBSTITUTE(Stage!I110,",",""))))+1,100))))/2)</f>
        <v>0.6</v>
      </c>
      <c r="G85" s="119">
        <f>IF(ISERROR(FIND(",",Stage!J110)),VALUE(Stage!J110),VALUE(LEFT(Stage!J110,FIND(",",Stage!J110)-1)))</f>
        <v>17</v>
      </c>
      <c r="H85" s="119">
        <f>IF(Stage!K110="",0,LEN(TRIM(Stage!K110))-LEN(SUBSTITUTE(TRIM(Stage!K110),",",""))+1)</f>
        <v>3</v>
      </c>
      <c r="I85" s="119">
        <f>Stage!O110+Stage!P110+Stage!N110+Stage!Q110+Stage!M110</f>
        <v>0</v>
      </c>
      <c r="J85" s="119">
        <f>IF(Stage!F110=0,0,I85/Stage!F110)</f>
        <v>0</v>
      </c>
      <c r="K85" s="120">
        <f t="shared" si="3"/>
        <v>27.072970483399416</v>
      </c>
      <c r="L85" s="120">
        <f t="shared" si="5"/>
        <v>33.336534058989912</v>
      </c>
      <c r="M85" s="119" t="str">
        <f t="shared" si="4"/>
        <v>보통</v>
      </c>
    </row>
    <row r="86" spans="1:13" ht="15.95" customHeight="1" x14ac:dyDescent="0.3">
      <c r="A86" s="117">
        <v>73</v>
      </c>
      <c r="B86" s="117" t="str">
        <f>Stage!C111</f>
        <v>N 073</v>
      </c>
      <c r="C86" s="117">
        <f>Stage!F111</f>
        <v>185</v>
      </c>
      <c r="D86" s="117">
        <f>IF(Stage!G111="",0,LEN(TRIM(Stage!G111))-LEN(SUBSTITUTE(TRIM(Stage!G111),",",""))+1)</f>
        <v>3</v>
      </c>
      <c r="E86" s="117">
        <f>IF(ISERROR(FIND(",",Stage!H111)),VALUE(Stage!H111),(VALUE(LEFT(Stage!H111,FIND(",",Stage!H111)-1))+VALUE(TRIM(MID(Stage!H111,FIND("|",SUBSTITUTE(Stage!H111,",","|",LEN(Stage!H111)-LEN(SUBSTITUTE(Stage!H111,",",""))))+1,100))))/2)</f>
        <v>3</v>
      </c>
      <c r="F86" s="117">
        <f>IF(ISERROR(FIND(",",Stage!I111)),VALUE(Stage!I111),(VALUE(LEFT(Stage!I111,FIND(",",Stage!I111)-1))+VALUE(TRIM(MID(Stage!I111,FIND("|",SUBSTITUTE(Stage!I111,",","|",LEN(Stage!I111)-LEN(SUBSTITUTE(Stage!I111,",",""))))+1,100))))/2)</f>
        <v>0.2</v>
      </c>
      <c r="G86" s="117">
        <f>IF(ISERROR(FIND(",",Stage!J111)),VALUE(Stage!J111),VALUE(LEFT(Stage!J111,FIND(",",Stage!J111)-1)))</f>
        <v>37</v>
      </c>
      <c r="H86" s="117">
        <f>IF(Stage!K111="",0,LEN(TRIM(Stage!K111))-LEN(SUBSTITUTE(TRIM(Stage!K111),",",""))+1)</f>
        <v>4</v>
      </c>
      <c r="I86" s="117">
        <f>Stage!O111+Stage!P111+Stage!N111+Stage!Q111+Stage!M111</f>
        <v>4</v>
      </c>
      <c r="J86" s="117">
        <f>IF(Stage!F111=0,0,I86/Stage!F111)</f>
        <v>2.1621621621621623E-2</v>
      </c>
      <c r="K86" s="118">
        <f t="shared" si="3"/>
        <v>47.070951763971117</v>
      </c>
      <c r="L86" s="118">
        <f t="shared" si="5"/>
        <v>34.183984898030317</v>
      </c>
      <c r="M86" s="117" t="str">
        <f t="shared" si="4"/>
        <v>어려움</v>
      </c>
    </row>
    <row r="87" spans="1:13" ht="15.95" customHeight="1" x14ac:dyDescent="0.3">
      <c r="A87" s="119">
        <v>74</v>
      </c>
      <c r="B87" s="119" t="str">
        <f>Stage!C112</f>
        <v>N 074</v>
      </c>
      <c r="C87" s="119">
        <f>Stage!F112</f>
        <v>105</v>
      </c>
      <c r="D87" s="119">
        <f>IF(Stage!G112="",0,LEN(TRIM(Stage!G112))-LEN(SUBSTITUTE(TRIM(Stage!G112),",",""))+1)</f>
        <v>3</v>
      </c>
      <c r="E87" s="119">
        <f>IF(ISERROR(FIND(",",Stage!H112)),VALUE(Stage!H112),(VALUE(LEFT(Stage!H112,FIND(",",Stage!H112)-1))+VALUE(TRIM(MID(Stage!H112,FIND("|",SUBSTITUTE(Stage!H112,",","|",LEN(Stage!H112)-LEN(SUBSTITUTE(Stage!H112,",",""))))+1,100))))/2)</f>
        <v>2</v>
      </c>
      <c r="F87" s="119">
        <f>IF(ISERROR(FIND(",",Stage!I112)),VALUE(Stage!I112),(VALUE(LEFT(Stage!I112,FIND(",",Stage!I112)-1))+VALUE(TRIM(MID(Stage!I112,FIND("|",SUBSTITUTE(Stage!I112,",","|",LEN(Stage!I112)-LEN(SUBSTITUTE(Stage!I112,",",""))))+1,100))))/2)</f>
        <v>0.5</v>
      </c>
      <c r="G87" s="119">
        <f>IF(ISERROR(FIND(",",Stage!J112)),VALUE(Stage!J112),VALUE(LEFT(Stage!J112,FIND(",",Stage!J112)-1)))</f>
        <v>26</v>
      </c>
      <c r="H87" s="119">
        <f>IF(Stage!K112="",0,LEN(TRIM(Stage!K112))-LEN(SUBSTITUTE(TRIM(Stage!K112),",",""))+1)</f>
        <v>3</v>
      </c>
      <c r="I87" s="119">
        <f>Stage!O112+Stage!P112+Stage!N112+Stage!Q112+Stage!M112</f>
        <v>0</v>
      </c>
      <c r="J87" s="119">
        <f>IF(Stage!F112=0,0,I87/Stage!F112)</f>
        <v>0</v>
      </c>
      <c r="K87" s="120">
        <f t="shared" si="3"/>
        <v>31.149024790740526</v>
      </c>
      <c r="L87" s="120">
        <f t="shared" si="5"/>
        <v>34.353635264484716</v>
      </c>
      <c r="M87" s="119" t="str">
        <f t="shared" si="4"/>
        <v>보통</v>
      </c>
    </row>
    <row r="88" spans="1:13" ht="15.95" customHeight="1" x14ac:dyDescent="0.3">
      <c r="A88" s="117">
        <v>75</v>
      </c>
      <c r="B88" s="117" t="str">
        <f>Stage!C113</f>
        <v>N 075</v>
      </c>
      <c r="C88" s="117">
        <f>Stage!F113</f>
        <v>135</v>
      </c>
      <c r="D88" s="117">
        <f>IF(Stage!G113="",0,LEN(TRIM(Stage!G113))-LEN(SUBSTITUTE(TRIM(Stage!G113),",",""))+1)</f>
        <v>3</v>
      </c>
      <c r="E88" s="117">
        <f>IF(ISERROR(FIND(",",Stage!H113)),VALUE(Stage!H113),(VALUE(LEFT(Stage!H113,FIND(",",Stage!H113)-1))+VALUE(TRIM(MID(Stage!H113,FIND("|",SUBSTITUTE(Stage!H113,",","|",LEN(Stage!H113)-LEN(SUBSTITUTE(Stage!H113,",",""))))+1,100))))/2)</f>
        <v>2.5</v>
      </c>
      <c r="F88" s="117">
        <f>IF(ISERROR(FIND(",",Stage!I113)),VALUE(Stage!I113),(VALUE(LEFT(Stage!I113,FIND(",",Stage!I113)-1))+VALUE(TRIM(MID(Stage!I113,FIND("|",SUBSTITUTE(Stage!I113,",","|",LEN(Stage!I113)-LEN(SUBSTITUTE(Stage!I113,",",""))))+1,100))))/2)</f>
        <v>0.4</v>
      </c>
      <c r="G88" s="117">
        <f>IF(ISERROR(FIND(",",Stage!J113)),VALUE(Stage!J113),VALUE(LEFT(Stage!J113,FIND(",",Stage!J113)-1)))</f>
        <v>33</v>
      </c>
      <c r="H88" s="117">
        <f>IF(Stage!K113="",0,LEN(TRIM(Stage!K113))-LEN(SUBSTITUTE(TRIM(Stage!K113),",",""))+1)</f>
        <v>3</v>
      </c>
      <c r="I88" s="117">
        <f>Stage!O113+Stage!P113+Stage!N113+Stage!Q113+Stage!M113</f>
        <v>0</v>
      </c>
      <c r="J88" s="117">
        <f>IF(Stage!F113=0,0,I88/Stage!F113)</f>
        <v>0</v>
      </c>
      <c r="K88" s="118">
        <f t="shared" si="3"/>
        <v>35.356241739757294</v>
      </c>
      <c r="L88" s="118">
        <f t="shared" si="5"/>
        <v>35.926185226437539</v>
      </c>
      <c r="M88" s="117" t="str">
        <f t="shared" si="4"/>
        <v>보통</v>
      </c>
    </row>
    <row r="89" spans="1:13" ht="15.95" customHeight="1" x14ac:dyDescent="0.3">
      <c r="A89" s="119">
        <v>76</v>
      </c>
      <c r="B89" s="119" t="str">
        <f>Stage!C114</f>
        <v>N 076</v>
      </c>
      <c r="C89" s="119">
        <f>Stage!F114</f>
        <v>115</v>
      </c>
      <c r="D89" s="119">
        <f>IF(Stage!G114="",0,LEN(TRIM(Stage!G114))-LEN(SUBSTITUTE(TRIM(Stage!G114),",",""))+1)</f>
        <v>3</v>
      </c>
      <c r="E89" s="119">
        <f>IF(ISERROR(FIND(",",Stage!H114)),VALUE(Stage!H114),(VALUE(LEFT(Stage!H114,FIND(",",Stage!H114)-1))+VALUE(TRIM(MID(Stage!H114,FIND("|",SUBSTITUTE(Stage!H114,",","|",LEN(Stage!H114)-LEN(SUBSTITUTE(Stage!H114,",",""))))+1,100))))/2)</f>
        <v>2</v>
      </c>
      <c r="F89" s="119">
        <f>IF(ISERROR(FIND(",",Stage!I114)),VALUE(Stage!I114),(VALUE(LEFT(Stage!I114,FIND(",",Stage!I114)-1))+VALUE(TRIM(MID(Stage!I114,FIND("|",SUBSTITUTE(Stage!I114,",","|",LEN(Stage!I114)-LEN(SUBSTITUTE(Stage!I114,",",""))))+1,100))))/2)</f>
        <v>0.5</v>
      </c>
      <c r="G89" s="119">
        <f>IF(ISERROR(FIND(",",Stage!J114)),VALUE(Stage!J114),VALUE(LEFT(Stage!J114,FIND(",",Stage!J114)-1)))</f>
        <v>28</v>
      </c>
      <c r="H89" s="119">
        <f>IF(Stage!K114="",0,LEN(TRIM(Stage!K114))-LEN(SUBSTITUTE(TRIM(Stage!K114),",",""))+1)</f>
        <v>3</v>
      </c>
      <c r="I89" s="119">
        <f>Stage!O114+Stage!P114+Stage!N114+Stage!Q114+Stage!M114</f>
        <v>0</v>
      </c>
      <c r="J89" s="119">
        <f>IF(Stage!F114=0,0,I89/Stage!F114)</f>
        <v>0</v>
      </c>
      <c r="K89" s="120">
        <f t="shared" si="3"/>
        <v>31.118987544555253</v>
      </c>
      <c r="L89" s="120">
        <f t="shared" si="5"/>
        <v>32.735792382554372</v>
      </c>
      <c r="M89" s="119" t="str">
        <f t="shared" si="4"/>
        <v>보통</v>
      </c>
    </row>
    <row r="90" spans="1:13" ht="15.95" customHeight="1" x14ac:dyDescent="0.3">
      <c r="A90" s="117">
        <v>77</v>
      </c>
      <c r="B90" s="117" t="str">
        <f>Stage!C115</f>
        <v>N 077</v>
      </c>
      <c r="C90" s="117">
        <f>Stage!F115</f>
        <v>130</v>
      </c>
      <c r="D90" s="117">
        <f>IF(Stage!G115="",0,LEN(TRIM(Stage!G115))-LEN(SUBSTITUTE(TRIM(Stage!G115),",",""))+1)</f>
        <v>3</v>
      </c>
      <c r="E90" s="117">
        <f>IF(ISERROR(FIND(",",Stage!H115)),VALUE(Stage!H115),(VALUE(LEFT(Stage!H115,FIND(",",Stage!H115)-1))+VALUE(TRIM(MID(Stage!H115,FIND("|",SUBSTITUTE(Stage!H115,",","|",LEN(Stage!H115)-LEN(SUBSTITUTE(Stage!H115,",",""))))+1,100))))/2)</f>
        <v>2.5</v>
      </c>
      <c r="F90" s="117">
        <f>IF(ISERROR(FIND(",",Stage!I115)),VALUE(Stage!I115),(VALUE(LEFT(Stage!I115,FIND(",",Stage!I115)-1))+VALUE(TRIM(MID(Stage!I115,FIND("|",SUBSTITUTE(Stage!I115,",","|",LEN(Stage!I115)-LEN(SUBSTITUTE(Stage!I115,",",""))))+1,100))))/2)</f>
        <v>0.4</v>
      </c>
      <c r="G90" s="117">
        <f>IF(ISERROR(FIND(",",Stage!J115)),VALUE(Stage!J115),VALUE(LEFT(Stage!J115,FIND(",",Stage!J115)-1)))</f>
        <v>32</v>
      </c>
      <c r="H90" s="117">
        <f>IF(Stage!K115="",0,LEN(TRIM(Stage!K115))-LEN(SUBSTITUTE(TRIM(Stage!K115),",",""))+1)</f>
        <v>3</v>
      </c>
      <c r="I90" s="117">
        <f>Stage!O115+Stage!P115+Stage!N115+Stage!Q115+Stage!M115</f>
        <v>0</v>
      </c>
      <c r="J90" s="117">
        <f>IF(Stage!F115=0,0,I90/Stage!F115)</f>
        <v>0</v>
      </c>
      <c r="K90" s="118">
        <f t="shared" si="3"/>
        <v>34.93572029316352</v>
      </c>
      <c r="L90" s="118">
        <f t="shared" si="5"/>
        <v>33.875077095598542</v>
      </c>
      <c r="M90" s="117" t="str">
        <f t="shared" si="4"/>
        <v>보통</v>
      </c>
    </row>
    <row r="91" spans="1:13" ht="15.95" customHeight="1" x14ac:dyDescent="0.3">
      <c r="A91" s="119">
        <v>78</v>
      </c>
      <c r="B91" s="119" t="str">
        <f>Stage!C116</f>
        <v>N 078</v>
      </c>
      <c r="C91" s="119">
        <f>Stage!F116</f>
        <v>115</v>
      </c>
      <c r="D91" s="119">
        <f>IF(Stage!G116="",0,LEN(TRIM(Stage!G116))-LEN(SUBSTITUTE(TRIM(Stage!G116),",",""))+1)</f>
        <v>3</v>
      </c>
      <c r="E91" s="119">
        <f>IF(ISERROR(FIND(",",Stage!H116)),VALUE(Stage!H116),(VALUE(LEFT(Stage!H116,FIND(",",Stage!H116)-1))+VALUE(TRIM(MID(Stage!H116,FIND("|",SUBSTITUTE(Stage!H116,",","|",LEN(Stage!H116)-LEN(SUBSTITUTE(Stage!H116,",",""))))+1,100))))/2)</f>
        <v>2</v>
      </c>
      <c r="F91" s="119">
        <f>IF(ISERROR(FIND(",",Stage!I116)),VALUE(Stage!I116),(VALUE(LEFT(Stage!I116,FIND(",",Stage!I116)-1))+VALUE(TRIM(MID(Stage!I116,FIND("|",SUBSTITUTE(Stage!I116,",","|",LEN(Stage!I116)-LEN(SUBSTITUTE(Stage!I116,",",""))))+1,100))))/2)</f>
        <v>0.5</v>
      </c>
      <c r="G91" s="119">
        <f>IF(ISERROR(FIND(",",Stage!J116)),VALUE(Stage!J116),VALUE(LEFT(Stage!J116,FIND(",",Stage!J116)-1)))</f>
        <v>28</v>
      </c>
      <c r="H91" s="119">
        <f>IF(Stage!K116="",0,LEN(TRIM(Stage!K116))-LEN(SUBSTITUTE(TRIM(Stage!K116),",",""))+1)</f>
        <v>3</v>
      </c>
      <c r="I91" s="119">
        <f>Stage!O116+Stage!P116+Stage!N116+Stage!Q116+Stage!M116</f>
        <v>0</v>
      </c>
      <c r="J91" s="119">
        <f>IF(Stage!F116=0,0,I91/Stage!F116)</f>
        <v>0</v>
      </c>
      <c r="K91" s="120">
        <f t="shared" si="3"/>
        <v>31.118987544555253</v>
      </c>
      <c r="L91" s="120">
        <f t="shared" si="5"/>
        <v>33.875077095598542</v>
      </c>
      <c r="M91" s="119" t="str">
        <f t="shared" si="4"/>
        <v>보통</v>
      </c>
    </row>
    <row r="92" spans="1:13" ht="15.95" customHeight="1" x14ac:dyDescent="0.3">
      <c r="A92" s="117">
        <v>79</v>
      </c>
      <c r="B92" s="117" t="str">
        <f>Stage!C117</f>
        <v>N 079</v>
      </c>
      <c r="C92" s="117">
        <f>Stage!F117</f>
        <v>150</v>
      </c>
      <c r="D92" s="117">
        <f>IF(Stage!G117="",0,LEN(TRIM(Stage!G117))-LEN(SUBSTITUTE(TRIM(Stage!G117),",",""))+1)</f>
        <v>3</v>
      </c>
      <c r="E92" s="117">
        <f>IF(ISERROR(FIND(",",Stage!H117)),VALUE(Stage!H117),(VALUE(LEFT(Stage!H117,FIND(",",Stage!H117)-1))+VALUE(TRIM(MID(Stage!H117,FIND("|",SUBSTITUTE(Stage!H117,",","|",LEN(Stage!H117)-LEN(SUBSTITUTE(Stage!H117,",",""))))+1,100))))/2)</f>
        <v>2.5</v>
      </c>
      <c r="F92" s="117">
        <f>IF(ISERROR(FIND(",",Stage!I117)),VALUE(Stage!I117),(VALUE(LEFT(Stage!I117,FIND(",",Stage!I117)-1))+VALUE(TRIM(MID(Stage!I117,FIND("|",SUBSTITUTE(Stage!I117,",","|",LEN(Stage!I117)-LEN(SUBSTITUTE(Stage!I117,",",""))))+1,100))))/2)</f>
        <v>0.4</v>
      </c>
      <c r="G92" s="117">
        <f>IF(ISERROR(FIND(",",Stage!J117)),VALUE(Stage!J117),VALUE(LEFT(Stage!J117,FIND(",",Stage!J117)-1)))</f>
        <v>37</v>
      </c>
      <c r="H92" s="117">
        <f>IF(Stage!K117="",0,LEN(TRIM(Stage!K117))-LEN(SUBSTITUTE(TRIM(Stage!K117),",",""))+1)</f>
        <v>3</v>
      </c>
      <c r="I92" s="117">
        <f>Stage!O117+Stage!P117+Stage!N117+Stage!Q117+Stage!M117</f>
        <v>1</v>
      </c>
      <c r="J92" s="117">
        <f>IF(Stage!F117=0,0,I92/Stage!F117)</f>
        <v>6.6666666666666671E-3</v>
      </c>
      <c r="K92" s="118">
        <f t="shared" si="3"/>
        <v>36.845448355961388</v>
      </c>
      <c r="L92" s="118">
        <f t="shared" si="5"/>
        <v>31.977123633305304</v>
      </c>
      <c r="M92" s="117" t="str">
        <f t="shared" si="4"/>
        <v>보통</v>
      </c>
    </row>
    <row r="93" spans="1:13" ht="15.95" customHeight="1" x14ac:dyDescent="0.3">
      <c r="A93" s="119">
        <v>80</v>
      </c>
      <c r="B93" s="119" t="str">
        <f>Stage!C118</f>
        <v>N 080</v>
      </c>
      <c r="C93" s="119">
        <f>Stage!F118</f>
        <v>135</v>
      </c>
      <c r="D93" s="119">
        <f>IF(Stage!G118="",0,LEN(TRIM(Stage!G118))-LEN(SUBSTITUTE(TRIM(Stage!G118),",",""))+1)</f>
        <v>3</v>
      </c>
      <c r="E93" s="119">
        <f>IF(ISERROR(FIND(",",Stage!H118)),VALUE(Stage!H118),(VALUE(LEFT(Stage!H118,FIND(",",Stage!H118)-1))+VALUE(TRIM(MID(Stage!H118,FIND("|",SUBSTITUTE(Stage!H118,",","|",LEN(Stage!H118)-LEN(SUBSTITUTE(Stage!H118,",",""))))+1,100))))/2)</f>
        <v>2.5</v>
      </c>
      <c r="F93" s="119">
        <f>IF(ISERROR(FIND(",",Stage!I118)),VALUE(Stage!I118),(VALUE(LEFT(Stage!I118,FIND(",",Stage!I118)-1))+VALUE(TRIM(MID(Stage!I118,FIND("|",SUBSTITUTE(Stage!I118,",","|",LEN(Stage!I118)-LEN(SUBSTITUTE(Stage!I118,",",""))))+1,100))))/2)</f>
        <v>0.4</v>
      </c>
      <c r="G93" s="119">
        <f>IF(ISERROR(FIND(",",Stage!J118)),VALUE(Stage!J118),VALUE(LEFT(Stage!J118,FIND(",",Stage!J118)-1)))</f>
        <v>33</v>
      </c>
      <c r="H93" s="119">
        <f>IF(Stage!K118="",0,LEN(TRIM(Stage!K118))-LEN(SUBSTITUTE(TRIM(Stage!K118),",",""))+1)</f>
        <v>3</v>
      </c>
      <c r="I93" s="119">
        <f>Stage!O118+Stage!P118+Stage!N118+Stage!Q118+Stage!M118</f>
        <v>0</v>
      </c>
      <c r="J93" s="119">
        <f>IF(Stage!F118=0,0,I93/Stage!F118)</f>
        <v>0</v>
      </c>
      <c r="K93" s="120">
        <f t="shared" si="3"/>
        <v>35.356241739757294</v>
      </c>
      <c r="L93" s="120">
        <f t="shared" si="5"/>
        <v>29.591565541271176</v>
      </c>
      <c r="M93" s="119" t="str">
        <f t="shared" si="4"/>
        <v>보통</v>
      </c>
    </row>
    <row r="94" spans="1:13" ht="15.95" customHeight="1" x14ac:dyDescent="0.3">
      <c r="A94" s="117">
        <v>81</v>
      </c>
      <c r="B94" s="117" t="str">
        <f>Stage!C119</f>
        <v>N 081</v>
      </c>
      <c r="C94" s="117">
        <f>Stage!F119</f>
        <v>65</v>
      </c>
      <c r="D94" s="117">
        <f>IF(Stage!G119="",0,LEN(TRIM(Stage!G119))-LEN(SUBSTITUTE(TRIM(Stage!G119),",",""))+1)</f>
        <v>2</v>
      </c>
      <c r="E94" s="117">
        <f>IF(ISERROR(FIND(",",Stage!H119)),VALUE(Stage!H119),(VALUE(LEFT(Stage!H119,FIND(",",Stage!H119)-1))+VALUE(TRIM(MID(Stage!H119,FIND("|",SUBSTITUTE(Stage!H119,",","|",LEN(Stage!H119)-LEN(SUBSTITUTE(Stage!H119,",",""))))+1,100))))/2)</f>
        <v>1</v>
      </c>
      <c r="F94" s="117">
        <f>IF(ISERROR(FIND(",",Stage!I119)),VALUE(Stage!I119),(VALUE(LEFT(Stage!I119,FIND(",",Stage!I119)-1))+VALUE(TRIM(MID(Stage!I119,FIND("|",SUBSTITUTE(Stage!I119,",","|",LEN(Stage!I119)-LEN(SUBSTITUTE(Stage!I119,",",""))))+1,100))))/2)</f>
        <v>0.7</v>
      </c>
      <c r="G94" s="117">
        <f>IF(ISERROR(FIND(",",Stage!J119)),VALUE(Stage!J119),VALUE(LEFT(Stage!J119,FIND(",",Stage!J119)-1)))</f>
        <v>16</v>
      </c>
      <c r="H94" s="117">
        <f>IF(Stage!K119="",0,LEN(TRIM(Stage!K119))-LEN(SUBSTITUTE(TRIM(Stage!K119),",",""))+1)</f>
        <v>3</v>
      </c>
      <c r="I94" s="117">
        <f>Stage!O119+Stage!P119+Stage!N119+Stage!Q119+Stage!M119</f>
        <v>0</v>
      </c>
      <c r="J94" s="117">
        <f>IF(Stage!F119=0,0,I94/Stage!F119)</f>
        <v>0</v>
      </c>
      <c r="K94" s="118">
        <f t="shared" si="3"/>
        <v>21.629220233089033</v>
      </c>
      <c r="L94" s="118">
        <f t="shared" si="5"/>
        <v>29.424918899435294</v>
      </c>
      <c r="M94" s="117" t="str">
        <f t="shared" si="4"/>
        <v>쉬움</v>
      </c>
    </row>
    <row r="95" spans="1:13" ht="15.95" customHeight="1" x14ac:dyDescent="0.3">
      <c r="A95" s="119">
        <v>82</v>
      </c>
      <c r="B95" s="119" t="str">
        <f>Stage!C120</f>
        <v>N 082</v>
      </c>
      <c r="C95" s="119">
        <f>Stage!F120</f>
        <v>70</v>
      </c>
      <c r="D95" s="119">
        <f>IF(Stage!G120="",0,LEN(TRIM(Stage!G120))-LEN(SUBSTITUTE(TRIM(Stage!G120),",",""))+1)</f>
        <v>2</v>
      </c>
      <c r="E95" s="119">
        <f>IF(ISERROR(FIND(",",Stage!H120)),VALUE(Stage!H120),(VALUE(LEFT(Stage!H120,FIND(",",Stage!H120)-1))+VALUE(TRIM(MID(Stage!H120,FIND("|",SUBSTITUTE(Stage!H120,",","|",LEN(Stage!H120)-LEN(SUBSTITUTE(Stage!H120,",",""))))+1,100))))/2)</f>
        <v>1</v>
      </c>
      <c r="F95" s="119">
        <f>IF(ISERROR(FIND(",",Stage!I120)),VALUE(Stage!I120),(VALUE(LEFT(Stage!I120,FIND(",",Stage!I120)-1))+VALUE(TRIM(MID(Stage!I120,FIND("|",SUBSTITUTE(Stage!I120,",","|",LEN(Stage!I120)-LEN(SUBSTITUTE(Stage!I120,",",""))))+1,100))))/2)</f>
        <v>0.6</v>
      </c>
      <c r="G95" s="119">
        <f>IF(ISERROR(FIND(",",Stage!J120)),VALUE(Stage!J120),VALUE(LEFT(Stage!J120,FIND(",",Stage!J120)-1)))</f>
        <v>17</v>
      </c>
      <c r="H95" s="119">
        <f>IF(Stage!K120="",0,LEN(TRIM(Stage!K120))-LEN(SUBSTITUTE(TRIM(Stage!K120),",",""))+1)</f>
        <v>3</v>
      </c>
      <c r="I95" s="119">
        <f>Stage!O120+Stage!P120+Stage!N120+Stage!Q120+Stage!M120</f>
        <v>0</v>
      </c>
      <c r="J95" s="119">
        <f>IF(Stage!F120=0,0,I95/Stage!F120)</f>
        <v>0</v>
      </c>
      <c r="K95" s="120">
        <f t="shared" si="3"/>
        <v>23.007929832992914</v>
      </c>
      <c r="L95" s="120">
        <f t="shared" si="5"/>
        <v>27.467419600304378</v>
      </c>
      <c r="M95" s="119" t="str">
        <f t="shared" si="4"/>
        <v>쉬움</v>
      </c>
    </row>
    <row r="96" spans="1:13" ht="15.95" customHeight="1" x14ac:dyDescent="0.3">
      <c r="A96" s="117">
        <v>83</v>
      </c>
      <c r="B96" s="117" t="str">
        <f>Stage!C121</f>
        <v>N 083</v>
      </c>
      <c r="C96" s="117">
        <f>Stage!F121</f>
        <v>85</v>
      </c>
      <c r="D96" s="117">
        <f>IF(Stage!G121="",0,LEN(TRIM(Stage!G121))-LEN(SUBSTITUTE(TRIM(Stage!G121),",",""))+1)</f>
        <v>2</v>
      </c>
      <c r="E96" s="117">
        <f>IF(ISERROR(FIND(",",Stage!H121)),VALUE(Stage!H121),(VALUE(LEFT(Stage!H121,FIND(",",Stage!H121)-1))+VALUE(TRIM(MID(Stage!H121,FIND("|",SUBSTITUTE(Stage!H121,",","|",LEN(Stage!H121)-LEN(SUBSTITUTE(Stage!H121,",",""))))+1,100))))/2)</f>
        <v>2</v>
      </c>
      <c r="F96" s="117">
        <f>IF(ISERROR(FIND(",",Stage!I121)),VALUE(Stage!I121),(VALUE(LEFT(Stage!I121,FIND(",",Stage!I121)-1))+VALUE(TRIM(MID(Stage!I121,FIND("|",SUBSTITUTE(Stage!I121,",","|",LEN(Stage!I121)-LEN(SUBSTITUTE(Stage!I121,",",""))))+1,100))))/2)</f>
        <v>0.6</v>
      </c>
      <c r="G96" s="117">
        <f>IF(ISERROR(FIND(",",Stage!J121)),VALUE(Stage!J121),VALUE(LEFT(Stage!J121,FIND(",",Stage!J121)-1)))</f>
        <v>17</v>
      </c>
      <c r="H96" s="117">
        <f>IF(Stage!K121="",0,LEN(TRIM(Stage!K121))-LEN(SUBSTITUTE(TRIM(Stage!K121),",",""))+1)</f>
        <v>4</v>
      </c>
      <c r="I96" s="117">
        <f>Stage!O121+Stage!P121+Stage!N121+Stage!Q121+Stage!M121</f>
        <v>0</v>
      </c>
      <c r="J96" s="117">
        <f>IF(Stage!F121=0,0,I96/Stage!F121)</f>
        <v>0</v>
      </c>
      <c r="K96" s="118">
        <f t="shared" si="3"/>
        <v>30.285754335375863</v>
      </c>
      <c r="L96" s="118">
        <f t="shared" si="5"/>
        <v>27.551523889623134</v>
      </c>
      <c r="M96" s="117" t="str">
        <f t="shared" si="4"/>
        <v>보통</v>
      </c>
    </row>
    <row r="97" spans="1:13" ht="15.95" customHeight="1" x14ac:dyDescent="0.3">
      <c r="A97" s="119">
        <v>84</v>
      </c>
      <c r="B97" s="119" t="str">
        <f>Stage!C122</f>
        <v>N 084</v>
      </c>
      <c r="C97" s="119">
        <f>Stage!F122</f>
        <v>75</v>
      </c>
      <c r="D97" s="119">
        <f>IF(Stage!G122="",0,LEN(TRIM(Stage!G122))-LEN(SUBSTITUTE(TRIM(Stage!G122),",",""))+1)</f>
        <v>2</v>
      </c>
      <c r="E97" s="119">
        <f>IF(ISERROR(FIND(",",Stage!H122)),VALUE(Stage!H122),(VALUE(LEFT(Stage!H122,FIND(",",Stage!H122)-1))+VALUE(TRIM(MID(Stage!H122,FIND("|",SUBSTITUTE(Stage!H122,",","|",LEN(Stage!H122)-LEN(SUBSTITUTE(Stage!H122,",",""))))+1,100))))/2)</f>
        <v>2</v>
      </c>
      <c r="F97" s="119">
        <f>IF(ISERROR(FIND(",",Stage!I122)),VALUE(Stage!I122),(VALUE(LEFT(Stage!I122,FIND(",",Stage!I122)-1))+VALUE(TRIM(MID(Stage!I122,FIND("|",SUBSTITUTE(Stage!I122,",","|",LEN(Stage!I122)-LEN(SUBSTITUTE(Stage!I122,",",""))))+1,100))))/2)</f>
        <v>0.6</v>
      </c>
      <c r="G97" s="119">
        <f>IF(ISERROR(FIND(",",Stage!J122)),VALUE(Stage!J122),VALUE(LEFT(Stage!J122,FIND(",",Stage!J122)-1)))</f>
        <v>18</v>
      </c>
      <c r="H97" s="119">
        <f>IF(Stage!K122="",0,LEN(TRIM(Stage!K122))-LEN(SUBSTITUTE(TRIM(Stage!K122),",",""))+1)</f>
        <v>3</v>
      </c>
      <c r="I97" s="119">
        <f>Stage!O122+Stage!P122+Stage!N122+Stage!Q122+Stage!M122</f>
        <v>0</v>
      </c>
      <c r="J97" s="119">
        <f>IF(Stage!F122=0,0,I97/Stage!F122)</f>
        <v>0</v>
      </c>
      <c r="K97" s="120">
        <f t="shared" si="3"/>
        <v>27.057951860306783</v>
      </c>
      <c r="L97" s="120">
        <f t="shared" si="5"/>
        <v>31.514487965076693</v>
      </c>
      <c r="M97" s="119" t="str">
        <f t="shared" si="4"/>
        <v>보통</v>
      </c>
    </row>
    <row r="98" spans="1:13" ht="15.95" customHeight="1" x14ac:dyDescent="0.3">
      <c r="A98" s="117">
        <v>85</v>
      </c>
      <c r="B98" s="117" t="str">
        <f>Stage!C123</f>
        <v>N 085</v>
      </c>
      <c r="C98" s="117">
        <f>Stage!F123</f>
        <v>140</v>
      </c>
      <c r="D98" s="117">
        <f>IF(Stage!G123="",0,LEN(TRIM(Stage!G123))-LEN(SUBSTITUTE(TRIM(Stage!G123),",",""))+1)</f>
        <v>3</v>
      </c>
      <c r="E98" s="117">
        <f>IF(ISERROR(FIND(",",Stage!H123)),VALUE(Stage!H123),(VALUE(LEFT(Stage!H123,FIND(",",Stage!H123)-1))+VALUE(TRIM(MID(Stage!H123,FIND("|",SUBSTITUTE(Stage!H123,",","|",LEN(Stage!H123)-LEN(SUBSTITUTE(Stage!H123,",",""))))+1,100))))/2)</f>
        <v>2.5</v>
      </c>
      <c r="F98" s="117">
        <f>IF(ISERROR(FIND(",",Stage!I123)),VALUE(Stage!I123),(VALUE(LEFT(Stage!I123,FIND(",",Stage!I123)-1))+VALUE(TRIM(MID(Stage!I123,FIND("|",SUBSTITUTE(Stage!I123,",","|",LEN(Stage!I123)-LEN(SUBSTITUTE(Stage!I123,",",""))))+1,100))))/2)</f>
        <v>0.4</v>
      </c>
      <c r="G98" s="117">
        <f>IF(ISERROR(FIND(",",Stage!J123)),VALUE(Stage!J123),VALUE(LEFT(Stage!J123,FIND(",",Stage!J123)-1)))</f>
        <v>35</v>
      </c>
      <c r="H98" s="117">
        <f>IF(Stage!K123="",0,LEN(TRIM(Stage!K123))-LEN(SUBSTITUTE(TRIM(Stage!K123),",",""))+1)</f>
        <v>3</v>
      </c>
      <c r="I98" s="117">
        <f>Stage!O123+Stage!P123+Stage!N123+Stage!Q123+Stage!M123</f>
        <v>0</v>
      </c>
      <c r="J98" s="117">
        <f>IF(Stage!F123=0,0,I98/Stage!F123)</f>
        <v>0</v>
      </c>
      <c r="K98" s="118">
        <f t="shared" si="3"/>
        <v>35.776763186351076</v>
      </c>
      <c r="L98" s="118">
        <f t="shared" si="5"/>
        <v>33.145710681244744</v>
      </c>
      <c r="M98" s="117" t="str">
        <f t="shared" si="4"/>
        <v>보통</v>
      </c>
    </row>
    <row r="99" spans="1:13" ht="15.95" customHeight="1" x14ac:dyDescent="0.3">
      <c r="A99" s="119">
        <v>86</v>
      </c>
      <c r="B99" s="119" t="str">
        <f>Stage!C124</f>
        <v>N 086</v>
      </c>
      <c r="C99" s="119">
        <f>Stage!F124</f>
        <v>160</v>
      </c>
      <c r="D99" s="119">
        <f>IF(Stage!G124="",0,LEN(TRIM(Stage!G124))-LEN(SUBSTITUTE(TRIM(Stage!G124),",",""))+1)</f>
        <v>3</v>
      </c>
      <c r="E99" s="119">
        <f>IF(ISERROR(FIND(",",Stage!H124)),VALUE(Stage!H124),(VALUE(LEFT(Stage!H124,FIND(",",Stage!H124)-1))+VALUE(TRIM(MID(Stage!H124,FIND("|",SUBSTITUTE(Stage!H124,",","|",LEN(Stage!H124)-LEN(SUBSTITUTE(Stage!H124,",",""))))+1,100))))/2)</f>
        <v>2.5</v>
      </c>
      <c r="F99" s="119">
        <f>IF(ISERROR(FIND(",",Stage!I124)),VALUE(Stage!I124),(VALUE(LEFT(Stage!I124,FIND(",",Stage!I124)-1))+VALUE(TRIM(MID(Stage!I124,FIND("|",SUBSTITUTE(Stage!I124,",","|",LEN(Stage!I124)-LEN(SUBSTITUTE(Stage!I124,",",""))))+1,100))))/2)</f>
        <v>0.3</v>
      </c>
      <c r="G99" s="119">
        <f>IF(ISERROR(FIND(",",Stage!J124)),VALUE(Stage!J124),VALUE(LEFT(Stage!J124,FIND(",",Stage!J124)-1)))</f>
        <v>32</v>
      </c>
      <c r="H99" s="119">
        <f>IF(Stage!K124="",0,LEN(TRIM(Stage!K124))-LEN(SUBSTITUTE(TRIM(Stage!K124),",",""))+1)</f>
        <v>4</v>
      </c>
      <c r="I99" s="119">
        <f>Stage!O124+Stage!P124+Stage!N124+Stage!Q124+Stage!M124</f>
        <v>3</v>
      </c>
      <c r="J99" s="119">
        <f>IF(Stage!F124=0,0,I99/Stage!F124)</f>
        <v>1.8749999999999999E-2</v>
      </c>
      <c r="K99" s="120">
        <f t="shared" si="3"/>
        <v>41.444040610356844</v>
      </c>
      <c r="L99" s="120">
        <f t="shared" si="5"/>
        <v>31.414403860787377</v>
      </c>
      <c r="M99" s="119" t="str">
        <f t="shared" si="4"/>
        <v>보통</v>
      </c>
    </row>
    <row r="100" spans="1:13" ht="15.95" customHeight="1" x14ac:dyDescent="0.3">
      <c r="A100" s="117">
        <v>87</v>
      </c>
      <c r="B100" s="117" t="str">
        <f>Stage!C125</f>
        <v>N 087</v>
      </c>
      <c r="C100" s="117">
        <f>Stage!F125</f>
        <v>100</v>
      </c>
      <c r="D100" s="117">
        <f>IF(Stage!G125="",0,LEN(TRIM(Stage!G125))-LEN(SUBSTITUTE(TRIM(Stage!G125),",",""))+1)</f>
        <v>3</v>
      </c>
      <c r="E100" s="117">
        <f>IF(ISERROR(FIND(",",Stage!H125)),VALUE(Stage!H125),(VALUE(LEFT(Stage!H125,FIND(",",Stage!H125)-1))+VALUE(TRIM(MID(Stage!H125,FIND("|",SUBSTITUTE(Stage!H125,",","|",LEN(Stage!H125)-LEN(SUBSTITUTE(Stage!H125,",",""))))+1,100))))/2)</f>
        <v>2</v>
      </c>
      <c r="F100" s="117">
        <f>IF(ISERROR(FIND(",",Stage!I125)),VALUE(Stage!I125),(VALUE(LEFT(Stage!I125,FIND(",",Stage!I125)-1))+VALUE(TRIM(MID(Stage!I125,FIND("|",SUBSTITUTE(Stage!I125,",","|",LEN(Stage!I125)-LEN(SUBSTITUTE(Stage!I125,",",""))))+1,100))))/2)</f>
        <v>0.5</v>
      </c>
      <c r="G100" s="117">
        <f>IF(ISERROR(FIND(",",Stage!J125)),VALUE(Stage!J125),VALUE(LEFT(Stage!J125,FIND(",",Stage!J125)-1)))</f>
        <v>25</v>
      </c>
      <c r="H100" s="117">
        <f>IF(Stage!K125="",0,LEN(TRIM(Stage!K125))-LEN(SUBSTITUTE(TRIM(Stage!K125),",",""))+1)</f>
        <v>3</v>
      </c>
      <c r="I100" s="117">
        <f>Stage!O125+Stage!P125+Stage!N125+Stage!Q125+Stage!M125</f>
        <v>0</v>
      </c>
      <c r="J100" s="117">
        <f>IF(Stage!F125=0,0,I100/Stage!F125)</f>
        <v>0</v>
      </c>
      <c r="K100" s="118">
        <f t="shared" si="3"/>
        <v>31.164043413833152</v>
      </c>
      <c r="L100" s="118">
        <f t="shared" si="5"/>
        <v>33.762147062357322</v>
      </c>
      <c r="M100" s="117" t="str">
        <f t="shared" si="4"/>
        <v>보통</v>
      </c>
    </row>
    <row r="101" spans="1:13" ht="15.95" customHeight="1" x14ac:dyDescent="0.3">
      <c r="A101" s="119">
        <v>88</v>
      </c>
      <c r="B101" s="119" t="str">
        <f>Stage!C126</f>
        <v>N 088</v>
      </c>
      <c r="C101" s="119">
        <f>Stage!F126</f>
        <v>65</v>
      </c>
      <c r="D101" s="119">
        <f>IF(Stage!G126="",0,LEN(TRIM(Stage!G126))-LEN(SUBSTITUTE(TRIM(Stage!G126),",",""))+1)</f>
        <v>2</v>
      </c>
      <c r="E101" s="119">
        <f>IF(ISERROR(FIND(",",Stage!H126)),VALUE(Stage!H126),(VALUE(LEFT(Stage!H126,FIND(",",Stage!H126)-1))+VALUE(TRIM(MID(Stage!H126,FIND("|",SUBSTITUTE(Stage!H126,",","|",LEN(Stage!H126)-LEN(SUBSTITUTE(Stage!H126,",",""))))+1,100))))/2)</f>
        <v>1</v>
      </c>
      <c r="F101" s="119">
        <f>IF(ISERROR(FIND(",",Stage!I126)),VALUE(Stage!I126),(VALUE(LEFT(Stage!I126,FIND(",",Stage!I126)-1))+VALUE(TRIM(MID(Stage!I126,FIND("|",SUBSTITUTE(Stage!I126,",","|",LEN(Stage!I126)-LEN(SUBSTITUTE(Stage!I126,",",""))))+1,100))))/2)</f>
        <v>0.7</v>
      </c>
      <c r="G101" s="119">
        <f>IF(ISERROR(FIND(",",Stage!J126)),VALUE(Stage!J126),VALUE(LEFT(Stage!J126,FIND(",",Stage!J126)-1)))</f>
        <v>16</v>
      </c>
      <c r="H101" s="119">
        <f>IF(Stage!K126="",0,LEN(TRIM(Stage!K126))-LEN(SUBSTITUTE(TRIM(Stage!K126),",",""))+1)</f>
        <v>3</v>
      </c>
      <c r="I101" s="119">
        <f>Stage!O126+Stage!P126+Stage!N126+Stage!Q126+Stage!M126</f>
        <v>0</v>
      </c>
      <c r="J101" s="119">
        <f>IF(Stage!F126=0,0,I101/Stage!F126)</f>
        <v>0</v>
      </c>
      <c r="K101" s="120">
        <f t="shared" si="3"/>
        <v>21.629220233089033</v>
      </c>
      <c r="L101" s="120">
        <f t="shared" si="5"/>
        <v>34.574173975729899</v>
      </c>
      <c r="M101" s="119" t="str">
        <f t="shared" si="4"/>
        <v>쉬움</v>
      </c>
    </row>
    <row r="102" spans="1:13" ht="15.95" customHeight="1" x14ac:dyDescent="0.3">
      <c r="A102" s="117">
        <v>89</v>
      </c>
      <c r="B102" s="117" t="str">
        <f>Stage!C127</f>
        <v>N 089</v>
      </c>
      <c r="C102" s="117">
        <f>Stage!F127</f>
        <v>150</v>
      </c>
      <c r="D102" s="117">
        <f>IF(Stage!G127="",0,LEN(TRIM(Stage!G127))-LEN(SUBSTITUTE(TRIM(Stage!G127),",",""))+1)</f>
        <v>3</v>
      </c>
      <c r="E102" s="117">
        <f>IF(ISERROR(FIND(",",Stage!H127)),VALUE(Stage!H127),(VALUE(LEFT(Stage!H127,FIND(",",Stage!H127)-1))+VALUE(TRIM(MID(Stage!H127,FIND("|",SUBSTITUTE(Stage!H127,",","|",LEN(Stage!H127)-LEN(SUBSTITUTE(Stage!H127,",",""))))+1,100))))/2)</f>
        <v>2.5</v>
      </c>
      <c r="F102" s="117">
        <f>IF(ISERROR(FIND(",",Stage!I127)),VALUE(Stage!I127),(VALUE(LEFT(Stage!I127,FIND(",",Stage!I127)-1))+VALUE(TRIM(MID(Stage!I127,FIND("|",SUBSTITUTE(Stage!I127,",","|",LEN(Stage!I127)-LEN(SUBSTITUTE(Stage!I127,",",""))))+1,100))))/2)</f>
        <v>0.4</v>
      </c>
      <c r="G102" s="117">
        <f>IF(ISERROR(FIND(",",Stage!J127)),VALUE(Stage!J127),VALUE(LEFT(Stage!J127,FIND(",",Stage!J127)-1)))</f>
        <v>30</v>
      </c>
      <c r="H102" s="117">
        <f>IF(Stage!K127="",0,LEN(TRIM(Stage!K127))-LEN(SUBSTITUTE(TRIM(Stage!K127),",",""))+1)</f>
        <v>4</v>
      </c>
      <c r="I102" s="117">
        <f>Stage!O127+Stage!P127+Stage!N127+Stage!Q127+Stage!M127</f>
        <v>1</v>
      </c>
      <c r="J102" s="117">
        <f>IF(Stage!F127=0,0,I102/Stage!F127)</f>
        <v>6.6666666666666671E-3</v>
      </c>
      <c r="K102" s="118">
        <f t="shared" si="3"/>
        <v>38.796667868156511</v>
      </c>
      <c r="L102" s="118">
        <f t="shared" si="5"/>
        <v>32.515170811806641</v>
      </c>
      <c r="M102" s="117" t="str">
        <f t="shared" si="4"/>
        <v>보통</v>
      </c>
    </row>
    <row r="103" spans="1:13" ht="15.95" customHeight="1" x14ac:dyDescent="0.3">
      <c r="A103" s="119">
        <v>90</v>
      </c>
      <c r="B103" s="119" t="str">
        <f>Stage!C128</f>
        <v>N 090</v>
      </c>
      <c r="C103" s="119">
        <f>Stage!F128</f>
        <v>160</v>
      </c>
      <c r="D103" s="119">
        <f>IF(Stage!G128="",0,LEN(TRIM(Stage!G128))-LEN(SUBSTITUTE(TRIM(Stage!G128),",",""))+1)</f>
        <v>3</v>
      </c>
      <c r="E103" s="119">
        <f>IF(ISERROR(FIND(",",Stage!H128)),VALUE(Stage!H128),(VALUE(LEFT(Stage!H128,FIND(",",Stage!H128)-1))+VALUE(TRIM(MID(Stage!H128,FIND("|",SUBSTITUTE(Stage!H128,",","|",LEN(Stage!H128)-LEN(SUBSTITUTE(Stage!H128,",",""))))+1,100))))/2)</f>
        <v>2.5</v>
      </c>
      <c r="F103" s="119">
        <f>IF(ISERROR(FIND(",",Stage!I128)),VALUE(Stage!I128),(VALUE(LEFT(Stage!I128,FIND(",",Stage!I128)-1))+VALUE(TRIM(MID(Stage!I128,FIND("|",SUBSTITUTE(Stage!I128,",","|",LEN(Stage!I128)-LEN(SUBSTITUTE(Stage!I128,",",""))))+1,100))))/2)</f>
        <v>0.4</v>
      </c>
      <c r="G103" s="119">
        <f>IF(ISERROR(FIND(",",Stage!J128)),VALUE(Stage!J128),VALUE(LEFT(Stage!J128,FIND(",",Stage!J128)-1)))</f>
        <v>32</v>
      </c>
      <c r="H103" s="119">
        <f>IF(Stage!K128="",0,LEN(TRIM(Stage!K128))-LEN(SUBSTITUTE(TRIM(Stage!K128),",",""))+1)</f>
        <v>4</v>
      </c>
      <c r="I103" s="119">
        <f>Stage!O128+Stage!P128+Stage!N128+Stage!Q128+Stage!M128</f>
        <v>2</v>
      </c>
      <c r="J103" s="119">
        <f>IF(Stage!F128=0,0,I103/Stage!F128)</f>
        <v>1.2500000000000001E-2</v>
      </c>
      <c r="K103" s="120">
        <f t="shared" si="3"/>
        <v>39.836897753213982</v>
      </c>
      <c r="L103" s="120">
        <f t="shared" si="5"/>
        <v>32.509163362569588</v>
      </c>
      <c r="M103" s="119" t="str">
        <f t="shared" si="4"/>
        <v>보통</v>
      </c>
    </row>
    <row r="104" spans="1:13" ht="15.95" customHeight="1" x14ac:dyDescent="0.3">
      <c r="A104" s="117">
        <v>91</v>
      </c>
      <c r="B104" s="117" t="str">
        <f>Stage!C129</f>
        <v>N 091</v>
      </c>
      <c r="C104" s="117">
        <f>Stage!F129</f>
        <v>105</v>
      </c>
      <c r="D104" s="117">
        <f>IF(Stage!G129="",0,LEN(TRIM(Stage!G129))-LEN(SUBSTITUTE(TRIM(Stage!G129),",",""))+1)</f>
        <v>3</v>
      </c>
      <c r="E104" s="117">
        <f>IF(ISERROR(FIND(",",Stage!H129)),VALUE(Stage!H129),(VALUE(LEFT(Stage!H129,FIND(",",Stage!H129)-1))+VALUE(TRIM(MID(Stage!H129,FIND("|",SUBSTITUTE(Stage!H129,",","|",LEN(Stage!H129)-LEN(SUBSTITUTE(Stage!H129,",",""))))+1,100))))/2)</f>
        <v>2</v>
      </c>
      <c r="F104" s="117">
        <f>IF(ISERROR(FIND(",",Stage!I129)),VALUE(Stage!I129),(VALUE(LEFT(Stage!I129,FIND(",",Stage!I129)-1))+VALUE(TRIM(MID(Stage!I129,FIND("|",SUBSTITUTE(Stage!I129,",","|",LEN(Stage!I129)-LEN(SUBSTITUTE(Stage!I129,",",""))))+1,100))))/2)</f>
        <v>0.5</v>
      </c>
      <c r="G104" s="117">
        <f>IF(ISERROR(FIND(",",Stage!J129)),VALUE(Stage!J129),VALUE(LEFT(Stage!J129,FIND(",",Stage!J129)-1)))</f>
        <v>26</v>
      </c>
      <c r="H104" s="117">
        <f>IF(Stage!K129="",0,LEN(TRIM(Stage!K129))-LEN(SUBSTITUTE(TRIM(Stage!K129),",",""))+1)</f>
        <v>3</v>
      </c>
      <c r="I104" s="117">
        <f>Stage!O129+Stage!P129+Stage!N129+Stage!Q129+Stage!M129</f>
        <v>0</v>
      </c>
      <c r="J104" s="117">
        <f>IF(Stage!F129=0,0,I104/Stage!F129)</f>
        <v>0</v>
      </c>
      <c r="K104" s="118">
        <f t="shared" si="3"/>
        <v>31.149024790740526</v>
      </c>
      <c r="L104" s="118">
        <f t="shared" si="5"/>
        <v>38.077772437822901</v>
      </c>
      <c r="M104" s="117" t="str">
        <f t="shared" si="4"/>
        <v>보통</v>
      </c>
    </row>
    <row r="105" spans="1:13" ht="15.95" customHeight="1" x14ac:dyDescent="0.3">
      <c r="A105" s="119">
        <v>92</v>
      </c>
      <c r="B105" s="119" t="str">
        <f>Stage!C130</f>
        <v>N 092</v>
      </c>
      <c r="C105" s="119">
        <f>Stage!F130</f>
        <v>110</v>
      </c>
      <c r="D105" s="119">
        <f>IF(Stage!G130="",0,LEN(TRIM(Stage!G130))-LEN(SUBSTITUTE(TRIM(Stage!G130),",",""))+1)</f>
        <v>3</v>
      </c>
      <c r="E105" s="119">
        <f>IF(ISERROR(FIND(",",Stage!H130)),VALUE(Stage!H130),(VALUE(LEFT(Stage!H130,FIND(",",Stage!H130)-1))+VALUE(TRIM(MID(Stage!H130,FIND("|",SUBSTITUTE(Stage!H130,",","|",LEN(Stage!H130)-LEN(SUBSTITUTE(Stage!H130,",",""))))+1,100))))/2)</f>
        <v>2</v>
      </c>
      <c r="F105" s="119">
        <f>IF(ISERROR(FIND(",",Stage!I130)),VALUE(Stage!I130),(VALUE(LEFT(Stage!I130,FIND(",",Stage!I130)-1))+VALUE(TRIM(MID(Stage!I130,FIND("|",SUBSTITUTE(Stage!I130,",","|",LEN(Stage!I130)-LEN(SUBSTITUTE(Stage!I130,",",""))))+1,100))))/2)</f>
        <v>0.5</v>
      </c>
      <c r="G105" s="119">
        <f>IF(ISERROR(FIND(",",Stage!J130)),VALUE(Stage!J130),VALUE(LEFT(Stage!J130,FIND(",",Stage!J130)-1)))</f>
        <v>27</v>
      </c>
      <c r="H105" s="119">
        <f>IF(Stage!K130="",0,LEN(TRIM(Stage!K130))-LEN(SUBSTITUTE(TRIM(Stage!K130),",",""))+1)</f>
        <v>3</v>
      </c>
      <c r="I105" s="119">
        <f>Stage!O130+Stage!P130+Stage!N130+Stage!Q130+Stage!M130</f>
        <v>0</v>
      </c>
      <c r="J105" s="119">
        <f>IF(Stage!F130=0,0,I105/Stage!F130)</f>
        <v>0</v>
      </c>
      <c r="K105" s="120">
        <f t="shared" si="3"/>
        <v>31.134006167647883</v>
      </c>
      <c r="L105" s="120">
        <f t="shared" si="5"/>
        <v>38.077772437822901</v>
      </c>
      <c r="M105" s="119" t="str">
        <f t="shared" si="4"/>
        <v>보통</v>
      </c>
    </row>
    <row r="106" spans="1:13" ht="15.95" customHeight="1" x14ac:dyDescent="0.3">
      <c r="A106" s="117">
        <v>93</v>
      </c>
      <c r="B106" s="117" t="str">
        <f>Stage!C131</f>
        <v>N 093</v>
      </c>
      <c r="C106" s="117">
        <f>Stage!F131</f>
        <v>200</v>
      </c>
      <c r="D106" s="117">
        <f>IF(Stage!G131="",0,LEN(TRIM(Stage!G131))-LEN(SUBSTITUTE(TRIM(Stage!G131),",",""))+1)</f>
        <v>3</v>
      </c>
      <c r="E106" s="117">
        <f>IF(ISERROR(FIND(",",Stage!H131)),VALUE(Stage!H131),(VALUE(LEFT(Stage!H131,FIND(",",Stage!H131)-1))+VALUE(TRIM(MID(Stage!H131,FIND("|",SUBSTITUTE(Stage!H131,",","|",LEN(Stage!H131)-LEN(SUBSTITUTE(Stage!H131,",",""))))+1,100))))/2)</f>
        <v>3</v>
      </c>
      <c r="F106" s="117">
        <f>IF(ISERROR(FIND(",",Stage!I131)),VALUE(Stage!I131),(VALUE(LEFT(Stage!I131,FIND(",",Stage!I131)-1))+VALUE(TRIM(MID(Stage!I131,FIND("|",SUBSTITUTE(Stage!I131,",","|",LEN(Stage!I131)-LEN(SUBSTITUTE(Stage!I131,",",""))))+1,100))))/2)</f>
        <v>0.2</v>
      </c>
      <c r="G106" s="117">
        <f>IF(ISERROR(FIND(",",Stage!J131)),VALUE(Stage!J131),VALUE(LEFT(Stage!J131,FIND(",",Stage!J131)-1)))</f>
        <v>40</v>
      </c>
      <c r="H106" s="117">
        <f>IF(Stage!K131="",0,LEN(TRIM(Stage!K131))-LEN(SUBSTITUTE(TRIM(Stage!K131),",",""))+1)</f>
        <v>4</v>
      </c>
      <c r="I106" s="117">
        <f>Stage!O131+Stage!P131+Stage!N131+Stage!Q131+Stage!M131</f>
        <v>11</v>
      </c>
      <c r="J106" s="117">
        <f>IF(Stage!F131=0,0,I106/Stage!F131)</f>
        <v>5.5E-2</v>
      </c>
      <c r="K106" s="118">
        <f t="shared" si="3"/>
        <v>49.472265609355603</v>
      </c>
      <c r="L106" s="118">
        <f t="shared" si="5"/>
        <v>34.436236933797908</v>
      </c>
      <c r="M106" s="117" t="str">
        <f t="shared" si="4"/>
        <v>어려움</v>
      </c>
    </row>
    <row r="107" spans="1:13" ht="15.95" customHeight="1" x14ac:dyDescent="0.3">
      <c r="A107" s="119">
        <v>94</v>
      </c>
      <c r="B107" s="119" t="str">
        <f>Stage!C132</f>
        <v>N 094</v>
      </c>
      <c r="C107" s="119">
        <f>Stage!F132</f>
        <v>150</v>
      </c>
      <c r="D107" s="119">
        <f>IF(Stage!G132="",0,LEN(TRIM(Stage!G132))-LEN(SUBSTITUTE(TRIM(Stage!G132),",",""))+1)</f>
        <v>3</v>
      </c>
      <c r="E107" s="119">
        <f>IF(ISERROR(FIND(",",Stage!H132)),VALUE(Stage!H132),(VALUE(LEFT(Stage!H132,FIND(",",Stage!H132)-1))+VALUE(TRIM(MID(Stage!H132,FIND("|",SUBSTITUTE(Stage!H132,",","|",LEN(Stage!H132)-LEN(SUBSTITUTE(Stage!H132,",",""))))+1,100))))/2)</f>
        <v>2.5</v>
      </c>
      <c r="F107" s="119">
        <f>IF(ISERROR(FIND(",",Stage!I132)),VALUE(Stage!I132),(VALUE(LEFT(Stage!I132,FIND(",",Stage!I132)-1))+VALUE(TRIM(MID(Stage!I132,FIND("|",SUBSTITUTE(Stage!I132,",","|",LEN(Stage!I132)-LEN(SUBSTITUTE(Stage!I132,",",""))))+1,100))))/2)</f>
        <v>0.4</v>
      </c>
      <c r="G107" s="119">
        <f>IF(ISERROR(FIND(",",Stage!J132)),VALUE(Stage!J132),VALUE(LEFT(Stage!J132,FIND(",",Stage!J132)-1)))</f>
        <v>30</v>
      </c>
      <c r="H107" s="119">
        <f>IF(Stage!K132="",0,LEN(TRIM(Stage!K132))-LEN(SUBSTITUTE(TRIM(Stage!K132),",",""))+1)</f>
        <v>4</v>
      </c>
      <c r="I107" s="119">
        <f>Stage!O132+Stage!P132+Stage!N132+Stage!Q132+Stage!M132</f>
        <v>1</v>
      </c>
      <c r="J107" s="119">
        <f>IF(Stage!F132=0,0,I107/Stage!F132)</f>
        <v>6.6666666666666671E-3</v>
      </c>
      <c r="K107" s="120">
        <f t="shared" si="3"/>
        <v>38.796667868156511</v>
      </c>
      <c r="L107" s="120">
        <f t="shared" si="5"/>
        <v>34.436236933797908</v>
      </c>
      <c r="M107" s="119" t="str">
        <f t="shared" si="4"/>
        <v>보통</v>
      </c>
    </row>
    <row r="108" spans="1:13" ht="15.95" customHeight="1" x14ac:dyDescent="0.3">
      <c r="A108" s="117">
        <v>95</v>
      </c>
      <c r="B108" s="117" t="str">
        <f>Stage!C133</f>
        <v>N 095</v>
      </c>
      <c r="C108" s="117">
        <f>Stage!F133</f>
        <v>65</v>
      </c>
      <c r="D108" s="117">
        <f>IF(Stage!G133="",0,LEN(TRIM(Stage!G133))-LEN(SUBSTITUTE(TRIM(Stage!G133),",",""))+1)</f>
        <v>2</v>
      </c>
      <c r="E108" s="117">
        <f>IF(ISERROR(FIND(",",Stage!H133)),VALUE(Stage!H133),(VALUE(LEFT(Stage!H133,FIND(",",Stage!H133)-1))+VALUE(TRIM(MID(Stage!H133,FIND("|",SUBSTITUTE(Stage!H133,",","|",LEN(Stage!H133)-LEN(SUBSTITUTE(Stage!H133,",",""))))+1,100))))/2)</f>
        <v>1</v>
      </c>
      <c r="F108" s="117">
        <f>IF(ISERROR(FIND(",",Stage!I133)),VALUE(Stage!I133),(VALUE(LEFT(Stage!I133,FIND(",",Stage!I133)-1))+VALUE(TRIM(MID(Stage!I133,FIND("|",SUBSTITUTE(Stage!I133,",","|",LEN(Stage!I133)-LEN(SUBSTITUTE(Stage!I133,",",""))))+1,100))))/2)</f>
        <v>0.7</v>
      </c>
      <c r="G108" s="117">
        <f>IF(ISERROR(FIND(",",Stage!J133)),VALUE(Stage!J133),VALUE(LEFT(Stage!J133,FIND(",",Stage!J133)-1)))</f>
        <v>16</v>
      </c>
      <c r="H108" s="117">
        <f>IF(Stage!K133="",0,LEN(TRIM(Stage!K133))-LEN(SUBSTITUTE(TRIM(Stage!K133),",",""))+1)</f>
        <v>3</v>
      </c>
      <c r="I108" s="117">
        <f>Stage!O133+Stage!P133+Stage!N133+Stage!Q133+Stage!M133</f>
        <v>0</v>
      </c>
      <c r="J108" s="117">
        <f>IF(Stage!F133=0,0,I108/Stage!F133)</f>
        <v>0</v>
      </c>
      <c r="K108" s="118">
        <f t="shared" si="3"/>
        <v>21.629220233089033</v>
      </c>
      <c r="L108" s="118">
        <f t="shared" si="5"/>
        <v>34.53235612159078</v>
      </c>
      <c r="M108" s="117" t="str">
        <f t="shared" si="4"/>
        <v>쉬움</v>
      </c>
    </row>
    <row r="109" spans="1:13" ht="15.95" customHeight="1" x14ac:dyDescent="0.3">
      <c r="A109" s="119">
        <v>96</v>
      </c>
      <c r="B109" s="119" t="str">
        <f>Stage!C134</f>
        <v>N 096</v>
      </c>
      <c r="C109" s="119">
        <f>Stage!F134</f>
        <v>105</v>
      </c>
      <c r="D109" s="119">
        <f>IF(Stage!G134="",0,LEN(TRIM(Stage!G134))-LEN(SUBSTITUTE(TRIM(Stage!G134),",",""))+1)</f>
        <v>3</v>
      </c>
      <c r="E109" s="119">
        <f>IF(ISERROR(FIND(",",Stage!H134)),VALUE(Stage!H134),(VALUE(LEFT(Stage!H134,FIND(",",Stage!H134)-1))+VALUE(TRIM(MID(Stage!H134,FIND("|",SUBSTITUTE(Stage!H134,",","|",LEN(Stage!H134)-LEN(SUBSTITUTE(Stage!H134,",",""))))+1,100))))/2)</f>
        <v>2</v>
      </c>
      <c r="F109" s="119">
        <f>IF(ISERROR(FIND(",",Stage!I134)),VALUE(Stage!I134),(VALUE(LEFT(Stage!I134,FIND(",",Stage!I134)-1))+VALUE(TRIM(MID(Stage!I134,FIND("|",SUBSTITUTE(Stage!I134,",","|",LEN(Stage!I134)-LEN(SUBSTITUTE(Stage!I134,",",""))))+1,100))))/2)</f>
        <v>0.5</v>
      </c>
      <c r="G109" s="119">
        <f>IF(ISERROR(FIND(",",Stage!J134)),VALUE(Stage!J134),VALUE(LEFT(Stage!J134,FIND(",",Stage!J134)-1)))</f>
        <v>26</v>
      </c>
      <c r="H109" s="119">
        <f>IF(Stage!K134="",0,LEN(TRIM(Stage!K134))-LEN(SUBSTITUTE(TRIM(Stage!K134),",",""))+1)</f>
        <v>3</v>
      </c>
      <c r="I109" s="119">
        <f>Stage!O134+Stage!P134+Stage!N134+Stage!Q134+Stage!M134</f>
        <v>0</v>
      </c>
      <c r="J109" s="119">
        <f>IF(Stage!F134=0,0,I109/Stage!F134)</f>
        <v>0</v>
      </c>
      <c r="K109" s="120">
        <f t="shared" si="3"/>
        <v>31.149024790740526</v>
      </c>
      <c r="L109" s="120">
        <f t="shared" si="5"/>
        <v>28.966750770955986</v>
      </c>
      <c r="M109" s="119" t="str">
        <f t="shared" si="4"/>
        <v>보통</v>
      </c>
    </row>
    <row r="110" spans="1:13" ht="15.95" customHeight="1" x14ac:dyDescent="0.3">
      <c r="A110" s="117">
        <v>97</v>
      </c>
      <c r="B110" s="117" t="str">
        <f>Stage!C135</f>
        <v>N 097</v>
      </c>
      <c r="C110" s="117">
        <f>Stage!F135</f>
        <v>95</v>
      </c>
      <c r="D110" s="117">
        <f>IF(Stage!G135="",0,LEN(TRIM(Stage!G135))-LEN(SUBSTITUTE(TRIM(Stage!G135),",",""))+1)</f>
        <v>3</v>
      </c>
      <c r="E110" s="117">
        <f>IF(ISERROR(FIND(",",Stage!H135)),VALUE(Stage!H135),(VALUE(LEFT(Stage!H135,FIND(",",Stage!H135)-1))+VALUE(TRIM(MID(Stage!H135,FIND("|",SUBSTITUTE(Stage!H135,",","|",LEN(Stage!H135)-LEN(SUBSTITUTE(Stage!H135,",",""))))+1,100))))/2)</f>
        <v>2</v>
      </c>
      <c r="F110" s="117">
        <f>IF(ISERROR(FIND(",",Stage!I135)),VALUE(Stage!I135),(VALUE(LEFT(Stage!I135,FIND(",",Stage!I135)-1))+VALUE(TRIM(MID(Stage!I135,FIND("|",SUBSTITUTE(Stage!I135,",","|",LEN(Stage!I135)-LEN(SUBSTITUTE(Stage!I135,",",""))))+1,100))))/2)</f>
        <v>0.5</v>
      </c>
      <c r="G110" s="117">
        <f>IF(ISERROR(FIND(",",Stage!J135)),VALUE(Stage!J135),VALUE(LEFT(Stage!J135,FIND(",",Stage!J135)-1)))</f>
        <v>23</v>
      </c>
      <c r="H110" s="117">
        <f>IF(Stage!K135="",0,LEN(TRIM(Stage!K135))-LEN(SUBSTITUTE(TRIM(Stage!K135),",",""))+1)</f>
        <v>3</v>
      </c>
      <c r="I110" s="117">
        <f>Stage!O135+Stage!P135+Stage!N135+Stage!Q135+Stage!M135</f>
        <v>0</v>
      </c>
      <c r="J110" s="117">
        <f>IF(Stage!F135=0,0,I110/Stage!F135)</f>
        <v>0</v>
      </c>
      <c r="K110" s="118">
        <f t="shared" si="3"/>
        <v>31.6146021066122</v>
      </c>
      <c r="L110" s="118">
        <f t="shared" si="5"/>
        <v>28.446874123913652</v>
      </c>
      <c r="M110" s="117" t="str">
        <f t="shared" si="4"/>
        <v>보통</v>
      </c>
    </row>
    <row r="111" spans="1:13" ht="15.95" customHeight="1" x14ac:dyDescent="0.3">
      <c r="A111" s="119">
        <v>98</v>
      </c>
      <c r="B111" s="119" t="str">
        <f>Stage!C136</f>
        <v>N 098</v>
      </c>
      <c r="C111" s="119">
        <f>Stage!F136</f>
        <v>60</v>
      </c>
      <c r="D111" s="119">
        <f>IF(Stage!G136="",0,LEN(TRIM(Stage!G136))-LEN(SUBSTITUTE(TRIM(Stage!G136),",",""))+1)</f>
        <v>2</v>
      </c>
      <c r="E111" s="119">
        <f>IF(ISERROR(FIND(",",Stage!H136)),VALUE(Stage!H136),(VALUE(LEFT(Stage!H136,FIND(",",Stage!H136)-1))+VALUE(TRIM(MID(Stage!H136,FIND("|",SUBSTITUTE(Stage!H136,",","|",LEN(Stage!H136)-LEN(SUBSTITUTE(Stage!H136,",",""))))+1,100))))/2)</f>
        <v>1</v>
      </c>
      <c r="F111" s="119">
        <f>IF(ISERROR(FIND(",",Stage!I136)),VALUE(Stage!I136),(VALUE(LEFT(Stage!I136,FIND(",",Stage!I136)-1))+VALUE(TRIM(MID(Stage!I136,FIND("|",SUBSTITUTE(Stage!I136,",","|",LEN(Stage!I136)-LEN(SUBSTITUTE(Stage!I136,",",""))))+1,100))))/2)</f>
        <v>0.7</v>
      </c>
      <c r="G111" s="119">
        <f>IF(ISERROR(FIND(",",Stage!J136)),VALUE(Stage!J136),VALUE(LEFT(Stage!J136,FIND(",",Stage!J136)-1)))</f>
        <v>15</v>
      </c>
      <c r="H111" s="119">
        <f>IF(Stage!K136="",0,LEN(TRIM(Stage!K136))-LEN(SUBSTITUTE(TRIM(Stage!K136),",",""))+1)</f>
        <v>3</v>
      </c>
      <c r="I111" s="119">
        <f>Stage!O136+Stage!P136+Stage!N136+Stage!Q136+Stage!M136</f>
        <v>0</v>
      </c>
      <c r="J111" s="119">
        <f>IF(Stage!F136=0,0,I111/Stage!F136)</f>
        <v>0</v>
      </c>
      <c r="K111" s="120">
        <f t="shared" si="3"/>
        <v>21.644238856181669</v>
      </c>
      <c r="L111" s="120">
        <f t="shared" si="5"/>
        <v>30.338820136969844</v>
      </c>
      <c r="M111" s="119" t="str">
        <f t="shared" si="4"/>
        <v>쉬움</v>
      </c>
    </row>
    <row r="112" spans="1:13" ht="15.95" customHeight="1" x14ac:dyDescent="0.3">
      <c r="A112" s="117">
        <v>99</v>
      </c>
      <c r="B112" s="117" t="str">
        <f>Stage!C137</f>
        <v>N 099</v>
      </c>
      <c r="C112" s="117">
        <f>Stage!F137</f>
        <v>145</v>
      </c>
      <c r="D112" s="117">
        <f>IF(Stage!G137="",0,LEN(TRIM(Stage!G137))-LEN(SUBSTITUTE(TRIM(Stage!G137),",",""))+1)</f>
        <v>3</v>
      </c>
      <c r="E112" s="117">
        <f>IF(ISERROR(FIND(",",Stage!H137)),VALUE(Stage!H137),(VALUE(LEFT(Stage!H137,FIND(",",Stage!H137)-1))+VALUE(TRIM(MID(Stage!H137,FIND("|",SUBSTITUTE(Stage!H137,",","|",LEN(Stage!H137)-LEN(SUBSTITUTE(Stage!H137,",",""))))+1,100))))/2)</f>
        <v>2.5</v>
      </c>
      <c r="F112" s="117">
        <f>IF(ISERROR(FIND(",",Stage!I137)),VALUE(Stage!I137),(VALUE(LEFT(Stage!I137,FIND(",",Stage!I137)-1))+VALUE(TRIM(MID(Stage!I137,FIND("|",SUBSTITUTE(Stage!I137,",","|",LEN(Stage!I137)-LEN(SUBSTITUTE(Stage!I137,",",""))))+1,100))))/2)</f>
        <v>0.4</v>
      </c>
      <c r="G112" s="117">
        <f>IF(ISERROR(FIND(",",Stage!J137)),VALUE(Stage!J137),VALUE(LEFT(Stage!J137,FIND(",",Stage!J137)-1)))</f>
        <v>36</v>
      </c>
      <c r="H112" s="117">
        <f>IF(Stage!K137="",0,LEN(TRIM(Stage!K137))-LEN(SUBSTITUTE(TRIM(Stage!K137),",",""))+1)</f>
        <v>3</v>
      </c>
      <c r="I112" s="117">
        <f>Stage!O137+Stage!P137+Stage!N137+Stage!Q137+Stage!M137</f>
        <v>0</v>
      </c>
      <c r="J112" s="117">
        <f>IF(Stage!F137=0,0,I112/Stage!F137)</f>
        <v>0</v>
      </c>
      <c r="K112" s="118">
        <f t="shared" si="3"/>
        <v>36.19728463294485</v>
      </c>
      <c r="L112" s="118">
        <f t="shared" si="5"/>
        <v>31.180263526773196</v>
      </c>
      <c r="M112" s="117" t="str">
        <f t="shared" si="4"/>
        <v>보통</v>
      </c>
    </row>
    <row r="113" spans="1:13" ht="15.95" customHeight="1" x14ac:dyDescent="0.3">
      <c r="A113" s="119">
        <v>100</v>
      </c>
      <c r="B113" s="119" t="str">
        <f>Stage!C138</f>
        <v>N 100</v>
      </c>
      <c r="C113" s="119">
        <f>Stage!F138</f>
        <v>125</v>
      </c>
      <c r="D113" s="119">
        <f>IF(Stage!G138="",0,LEN(TRIM(Stage!G138))-LEN(SUBSTITUTE(TRIM(Stage!G138),",",""))+1)</f>
        <v>3</v>
      </c>
      <c r="E113" s="119">
        <f>IF(ISERROR(FIND(",",Stage!H138)),VALUE(Stage!H138),(VALUE(LEFT(Stage!H138,FIND(",",Stage!H138)-1))+VALUE(TRIM(MID(Stage!H138,FIND("|",SUBSTITUTE(Stage!H138,",","|",LEN(Stage!H138)-LEN(SUBSTITUTE(Stage!H138,",",""))))+1,100))))/2)</f>
        <v>2</v>
      </c>
      <c r="F113" s="119">
        <f>IF(ISERROR(FIND(",",Stage!I138)),VALUE(Stage!I138),(VALUE(LEFT(Stage!I138,FIND(",",Stage!I138)-1))+VALUE(TRIM(MID(Stage!I138,FIND("|",SUBSTITUTE(Stage!I138,",","|",LEN(Stage!I138)-LEN(SUBSTITUTE(Stage!I138,",",""))))+1,100))))/2)</f>
        <v>0.5</v>
      </c>
      <c r="G113" s="119">
        <f>IF(ISERROR(FIND(",",Stage!J138)),VALUE(Stage!J138),VALUE(LEFT(Stage!J138,FIND(",",Stage!J138)-1)))</f>
        <v>31</v>
      </c>
      <c r="H113" s="119">
        <f>IF(Stage!K138="",0,LEN(TRIM(Stage!K138))-LEN(SUBSTITUTE(TRIM(Stage!K138),",",""))+1)</f>
        <v>3</v>
      </c>
      <c r="I113" s="119">
        <f>Stage!O138+Stage!P138+Stage!N138+Stage!Q138+Stage!M138</f>
        <v>0</v>
      </c>
      <c r="J113" s="119">
        <f>IF(Stage!F138=0,0,I113/Stage!F138)</f>
        <v>0</v>
      </c>
      <c r="K113" s="120">
        <f t="shared" si="3"/>
        <v>31.088950298369983</v>
      </c>
      <c r="L113" s="120">
        <f t="shared" si="5"/>
        <v>30.991028875806002</v>
      </c>
      <c r="M113" s="119" t="str">
        <f t="shared" si="4"/>
        <v>보통</v>
      </c>
    </row>
    <row r="114" spans="1:13" ht="15.95" customHeight="1" x14ac:dyDescent="0.3">
      <c r="A114" s="117">
        <v>101</v>
      </c>
      <c r="B114" s="117" t="str">
        <f>Stage!C139</f>
        <v>N 101</v>
      </c>
      <c r="C114" s="117">
        <f>Stage!F139</f>
        <v>135</v>
      </c>
      <c r="D114" s="117">
        <f>IF(Stage!G139="",0,LEN(TRIM(Stage!G139))-LEN(SUBSTITUTE(TRIM(Stage!G139),",",""))+1)</f>
        <v>3</v>
      </c>
      <c r="E114" s="117">
        <f>IF(ISERROR(FIND(",",Stage!H139)),VALUE(Stage!H139),(VALUE(LEFT(Stage!H139,FIND(",",Stage!H139)-1))+VALUE(TRIM(MID(Stage!H139,FIND("|",SUBSTITUTE(Stage!H139,",","|",LEN(Stage!H139)-LEN(SUBSTITUTE(Stage!H139,",",""))))+1,100))))/2)</f>
        <v>2.5</v>
      </c>
      <c r="F114" s="117">
        <f>IF(ISERROR(FIND(",",Stage!I139)),VALUE(Stage!I139),(VALUE(LEFT(Stage!I139,FIND(",",Stage!I139)-1))+VALUE(TRIM(MID(Stage!I139,FIND("|",SUBSTITUTE(Stage!I139,",","|",LEN(Stage!I139)-LEN(SUBSTITUTE(Stage!I139,",",""))))+1,100))))/2)</f>
        <v>0.4</v>
      </c>
      <c r="G114" s="117">
        <f>IF(ISERROR(FIND(",",Stage!J139)),VALUE(Stage!J139),VALUE(LEFT(Stage!J139,FIND(",",Stage!J139)-1)))</f>
        <v>33</v>
      </c>
      <c r="H114" s="117">
        <f>IF(Stage!K139="",0,LEN(TRIM(Stage!K139))-LEN(SUBSTITUTE(TRIM(Stage!K139),",",""))+1)</f>
        <v>3</v>
      </c>
      <c r="I114" s="117">
        <f>Stage!O139+Stage!P139+Stage!N139+Stage!Q139+Stage!M139</f>
        <v>0</v>
      </c>
      <c r="J114" s="117">
        <f>IF(Stage!F139=0,0,I114/Stage!F139)</f>
        <v>0</v>
      </c>
      <c r="K114" s="118">
        <f t="shared" si="3"/>
        <v>35.356241739757294</v>
      </c>
      <c r="L114" s="118">
        <f t="shared" si="5"/>
        <v>32.879971164243663</v>
      </c>
      <c r="M114" s="117" t="str">
        <f t="shared" si="4"/>
        <v>보통</v>
      </c>
    </row>
    <row r="115" spans="1:13" ht="15.95" customHeight="1" x14ac:dyDescent="0.3">
      <c r="A115" s="119">
        <v>102</v>
      </c>
      <c r="B115" s="119" t="str">
        <f>Stage!C140</f>
        <v>N 102</v>
      </c>
      <c r="C115" s="119">
        <f>Stage!F140</f>
        <v>120</v>
      </c>
      <c r="D115" s="119">
        <f>IF(Stage!G140="",0,LEN(TRIM(Stage!G140))-LEN(SUBSTITUTE(TRIM(Stage!G140),",",""))+1)</f>
        <v>3</v>
      </c>
      <c r="E115" s="119">
        <f>IF(ISERROR(FIND(",",Stage!H140)),VALUE(Stage!H140),(VALUE(LEFT(Stage!H140,FIND(",",Stage!H140)-1))+VALUE(TRIM(MID(Stage!H140,FIND("|",SUBSTITUTE(Stage!H140,",","|",LEN(Stage!H140)-LEN(SUBSTITUTE(Stage!H140,",",""))))+1,100))))/2)</f>
        <v>2</v>
      </c>
      <c r="F115" s="119">
        <f>IF(ISERROR(FIND(",",Stage!I140)),VALUE(Stage!I140),(VALUE(LEFT(Stage!I140,FIND(",",Stage!I140)-1))+VALUE(TRIM(MID(Stage!I140,FIND("|",SUBSTITUTE(Stage!I140,",","|",LEN(Stage!I140)-LEN(SUBSTITUTE(Stage!I140,",",""))))+1,100))))/2)</f>
        <v>0.5</v>
      </c>
      <c r="G115" s="119">
        <f>IF(ISERROR(FIND(",",Stage!J140)),VALUE(Stage!J140),VALUE(LEFT(Stage!J140,FIND(",",Stage!J140)-1)))</f>
        <v>30</v>
      </c>
      <c r="H115" s="119">
        <f>IF(Stage!K140="",0,LEN(TRIM(Stage!K140))-LEN(SUBSTITUTE(TRIM(Stage!K140),",",""))+1)</f>
        <v>3</v>
      </c>
      <c r="I115" s="119">
        <f>Stage!O140+Stage!P140+Stage!N140+Stage!Q140+Stage!M140</f>
        <v>0</v>
      </c>
      <c r="J115" s="119">
        <f>IF(Stage!F140=0,0,I115/Stage!F140)</f>
        <v>0</v>
      </c>
      <c r="K115" s="120">
        <f t="shared" si="3"/>
        <v>30.668428851776209</v>
      </c>
      <c r="L115" s="120">
        <f t="shared" si="5"/>
        <v>32.927069566262176</v>
      </c>
      <c r="M115" s="119" t="str">
        <f t="shared" si="4"/>
        <v>보통</v>
      </c>
    </row>
    <row r="116" spans="1:13" ht="15.95" customHeight="1" x14ac:dyDescent="0.3">
      <c r="A116" s="117">
        <v>103</v>
      </c>
      <c r="B116" s="117" t="str">
        <f>Stage!C141</f>
        <v>N 103</v>
      </c>
      <c r="C116" s="117">
        <f>Stage!F141</f>
        <v>125</v>
      </c>
      <c r="D116" s="117">
        <f>IF(Stage!G141="",0,LEN(TRIM(Stage!G141))-LEN(SUBSTITUTE(TRIM(Stage!G141),",",""))+1)</f>
        <v>3</v>
      </c>
      <c r="E116" s="117">
        <f>IF(ISERROR(FIND(",",Stage!H141)),VALUE(Stage!H141),(VALUE(LEFT(Stage!H141,FIND(",",Stage!H141)-1))+VALUE(TRIM(MID(Stage!H141,FIND("|",SUBSTITUTE(Stage!H141,",","|",LEN(Stage!H141)-LEN(SUBSTITUTE(Stage!H141,",",""))))+1,100))))/2)</f>
        <v>2</v>
      </c>
      <c r="F116" s="117">
        <f>IF(ISERROR(FIND(",",Stage!I141)),VALUE(Stage!I141),(VALUE(LEFT(Stage!I141,FIND(",",Stage!I141)-1))+VALUE(TRIM(MID(Stage!I141,FIND("|",SUBSTITUTE(Stage!I141,",","|",LEN(Stage!I141)-LEN(SUBSTITUTE(Stage!I141,",",""))))+1,100))))/2)</f>
        <v>0.5</v>
      </c>
      <c r="G116" s="117">
        <f>IF(ISERROR(FIND(",",Stage!J141)),VALUE(Stage!J141),VALUE(LEFT(Stage!J141,FIND(",",Stage!J141)-1)))</f>
        <v>31</v>
      </c>
      <c r="H116" s="117">
        <f>IF(Stage!K141="",0,LEN(TRIM(Stage!K141))-LEN(SUBSTITUTE(TRIM(Stage!K141),",",""))+1)</f>
        <v>3</v>
      </c>
      <c r="I116" s="117">
        <f>Stage!O141+Stage!P141+Stage!N141+Stage!Q141+Stage!M141</f>
        <v>0</v>
      </c>
      <c r="J116" s="117">
        <f>IF(Stage!F141=0,0,I116/Stage!F141)</f>
        <v>0</v>
      </c>
      <c r="K116" s="118">
        <f t="shared" si="3"/>
        <v>31.088950298369983</v>
      </c>
      <c r="L116" s="118">
        <f t="shared" si="5"/>
        <v>32.842965276943417</v>
      </c>
      <c r="M116" s="117" t="str">
        <f t="shared" si="4"/>
        <v>보통</v>
      </c>
    </row>
    <row r="117" spans="1:13" ht="15.95" customHeight="1" x14ac:dyDescent="0.3">
      <c r="A117" s="119">
        <v>104</v>
      </c>
      <c r="B117" s="119" t="str">
        <f>Stage!C142</f>
        <v>N 104</v>
      </c>
      <c r="C117" s="119">
        <f>Stage!F142</f>
        <v>145</v>
      </c>
      <c r="D117" s="119">
        <f>IF(Stage!G142="",0,LEN(TRIM(Stage!G142))-LEN(SUBSTITUTE(TRIM(Stage!G142),",",""))+1)</f>
        <v>3</v>
      </c>
      <c r="E117" s="119">
        <f>IF(ISERROR(FIND(",",Stage!H142)),VALUE(Stage!H142),(VALUE(LEFT(Stage!H142,FIND(",",Stage!H142)-1))+VALUE(TRIM(MID(Stage!H142,FIND("|",SUBSTITUTE(Stage!H142,",","|",LEN(Stage!H142)-LEN(SUBSTITUTE(Stage!H142,",",""))))+1,100))))/2)</f>
        <v>2.5</v>
      </c>
      <c r="F117" s="119">
        <f>IF(ISERROR(FIND(",",Stage!I142)),VALUE(Stage!I142),(VALUE(LEFT(Stage!I142,FIND(",",Stage!I142)-1))+VALUE(TRIM(MID(Stage!I142,FIND("|",SUBSTITUTE(Stage!I142,",","|",LEN(Stage!I142)-LEN(SUBSTITUTE(Stage!I142,",",""))))+1,100))))/2)</f>
        <v>0.4</v>
      </c>
      <c r="G117" s="119">
        <f>IF(ISERROR(FIND(",",Stage!J142)),VALUE(Stage!J142),VALUE(LEFT(Stage!J142,FIND(",",Stage!J142)-1)))</f>
        <v>36</v>
      </c>
      <c r="H117" s="119">
        <f>IF(Stage!K142="",0,LEN(TRIM(Stage!K142))-LEN(SUBSTITUTE(TRIM(Stage!K142),",",""))+1)</f>
        <v>3</v>
      </c>
      <c r="I117" s="119">
        <f>Stage!O142+Stage!P142+Stage!N142+Stage!Q142+Stage!M142</f>
        <v>1</v>
      </c>
      <c r="J117" s="119">
        <f>IF(Stage!F142=0,0,I117/Stage!F142)</f>
        <v>6.8965517241379309E-3</v>
      </c>
      <c r="K117" s="120">
        <f t="shared" si="3"/>
        <v>36.432776643037371</v>
      </c>
      <c r="L117" s="120">
        <f t="shared" si="5"/>
        <v>31.825864071448599</v>
      </c>
      <c r="M117" s="119" t="str">
        <f t="shared" si="4"/>
        <v>보통</v>
      </c>
    </row>
    <row r="118" spans="1:13" ht="15.95" customHeight="1" x14ac:dyDescent="0.3">
      <c r="A118" s="117">
        <v>105</v>
      </c>
      <c r="B118" s="117" t="str">
        <f>Stage!C143</f>
        <v>N 105</v>
      </c>
      <c r="C118" s="117">
        <f>Stage!F143</f>
        <v>120</v>
      </c>
      <c r="D118" s="117">
        <f>IF(Stage!G143="",0,LEN(TRIM(Stage!G143))-LEN(SUBSTITUTE(TRIM(Stage!G143),",",""))+1)</f>
        <v>3</v>
      </c>
      <c r="E118" s="117">
        <f>IF(ISERROR(FIND(",",Stage!H143)),VALUE(Stage!H143),(VALUE(LEFT(Stage!H143,FIND(",",Stage!H143)-1))+VALUE(TRIM(MID(Stage!H143,FIND("|",SUBSTITUTE(Stage!H143,",","|",LEN(Stage!H143)-LEN(SUBSTITUTE(Stage!H143,",",""))))+1,100))))/2)</f>
        <v>2</v>
      </c>
      <c r="F118" s="117">
        <f>IF(ISERROR(FIND(",",Stage!I143)),VALUE(Stage!I143),(VALUE(LEFT(Stage!I143,FIND(",",Stage!I143)-1))+VALUE(TRIM(MID(Stage!I143,FIND("|",SUBSTITUTE(Stage!I143,",","|",LEN(Stage!I143)-LEN(SUBSTITUTE(Stage!I143,",",""))))+1,100))))/2)</f>
        <v>0.5</v>
      </c>
      <c r="G118" s="117">
        <f>IF(ISERROR(FIND(",",Stage!J143)),VALUE(Stage!J143),VALUE(LEFT(Stage!J143,FIND(",",Stage!J143)-1)))</f>
        <v>30</v>
      </c>
      <c r="H118" s="117">
        <f>IF(Stage!K143="",0,LEN(TRIM(Stage!K143))-LEN(SUBSTITUTE(TRIM(Stage!K143),",",""))+1)</f>
        <v>3</v>
      </c>
      <c r="I118" s="117">
        <f>Stage!O143+Stage!P143+Stage!N143+Stage!Q143+Stage!M143</f>
        <v>0</v>
      </c>
      <c r="J118" s="117">
        <f>IF(Stage!F143=0,0,I118/Stage!F143)</f>
        <v>0</v>
      </c>
      <c r="K118" s="118">
        <f t="shared" si="3"/>
        <v>30.668428851776209</v>
      </c>
      <c r="L118" s="118">
        <f t="shared" si="5"/>
        <v>34.706876526893353</v>
      </c>
      <c r="M118" s="117" t="str">
        <f t="shared" si="4"/>
        <v>보통</v>
      </c>
    </row>
    <row r="119" spans="1:13" ht="15.95" customHeight="1" x14ac:dyDescent="0.3">
      <c r="A119" s="119">
        <v>106</v>
      </c>
      <c r="B119" s="119" t="str">
        <f>Stage!C144</f>
        <v>N 106</v>
      </c>
      <c r="C119" s="119">
        <f>Stage!F144</f>
        <v>90</v>
      </c>
      <c r="D119" s="119">
        <f>IF(Stage!G144="",0,LEN(TRIM(Stage!G144))-LEN(SUBSTITUTE(TRIM(Stage!G144),",",""))+1)</f>
        <v>2</v>
      </c>
      <c r="E119" s="119">
        <f>IF(ISERROR(FIND(",",Stage!H144)),VALUE(Stage!H144),(VALUE(LEFT(Stage!H144,FIND(",",Stage!H144)-1))+VALUE(TRIM(MID(Stage!H144,FIND("|",SUBSTITUTE(Stage!H144,",","|",LEN(Stage!H144)-LEN(SUBSTITUTE(Stage!H144,",",""))))+1,100))))/2)</f>
        <v>2</v>
      </c>
      <c r="F119" s="119">
        <f>IF(ISERROR(FIND(",",Stage!I144)),VALUE(Stage!I144),(VALUE(LEFT(Stage!I144,FIND(",",Stage!I144)-1))+VALUE(TRIM(MID(Stage!I144,FIND("|",SUBSTITUTE(Stage!I144,",","|",LEN(Stage!I144)-LEN(SUBSTITUTE(Stage!I144,",",""))))+1,100))))/2)</f>
        <v>0.6</v>
      </c>
      <c r="G119" s="119">
        <f>IF(ISERROR(FIND(",",Stage!J144)),VALUE(Stage!J144),VALUE(LEFT(Stage!J144,FIND(",",Stage!J144)-1)))</f>
        <v>18</v>
      </c>
      <c r="H119" s="119">
        <f>IF(Stage!K144="",0,LEN(TRIM(Stage!K144))-LEN(SUBSTITUTE(TRIM(Stage!K144),",",""))+1)</f>
        <v>4</v>
      </c>
      <c r="I119" s="119">
        <f>Stage!O144+Stage!P144+Stage!N144+Stage!Q144+Stage!M144</f>
        <v>0</v>
      </c>
      <c r="J119" s="119">
        <f>IF(Stage!F144=0,0,I119/Stage!F144)</f>
        <v>0</v>
      </c>
      <c r="K119" s="120">
        <f t="shared" si="3"/>
        <v>30.270735712283237</v>
      </c>
      <c r="L119" s="120">
        <f t="shared" si="5"/>
        <v>36.735211662461452</v>
      </c>
      <c r="M119" s="119" t="str">
        <f t="shared" si="4"/>
        <v>보통</v>
      </c>
    </row>
    <row r="120" spans="1:13" ht="15.95" customHeight="1" x14ac:dyDescent="0.3">
      <c r="A120" s="117">
        <v>107</v>
      </c>
      <c r="B120" s="117" t="str">
        <f>Stage!C145</f>
        <v>N 107</v>
      </c>
      <c r="C120" s="117">
        <f>Stage!F145</f>
        <v>175</v>
      </c>
      <c r="D120" s="117">
        <f>IF(Stage!G145="",0,LEN(TRIM(Stage!G145))-LEN(SUBSTITUTE(TRIM(Stage!G145),",",""))+1)</f>
        <v>3</v>
      </c>
      <c r="E120" s="117">
        <f>IF(ISERROR(FIND(",",Stage!H145)),VALUE(Stage!H145),(VALUE(LEFT(Stage!H145,FIND(",",Stage!H145)-1))+VALUE(TRIM(MID(Stage!H145,FIND("|",SUBSTITUTE(Stage!H145,",","|",LEN(Stage!H145)-LEN(SUBSTITUTE(Stage!H145,",",""))))+1,100))))/2)</f>
        <v>3</v>
      </c>
      <c r="F120" s="117">
        <f>IF(ISERROR(FIND(",",Stage!I145)),VALUE(Stage!I145),(VALUE(LEFT(Stage!I145,FIND(",",Stage!I145)-1))+VALUE(TRIM(MID(Stage!I145,FIND("|",SUBSTITUTE(Stage!I145,",","|",LEN(Stage!I145)-LEN(SUBSTITUTE(Stage!I145,",",""))))+1,100))))/2)</f>
        <v>0.3</v>
      </c>
      <c r="G120" s="117">
        <f>IF(ISERROR(FIND(",",Stage!J145)),VALUE(Stage!J145),VALUE(LEFT(Stage!J145,FIND(",",Stage!J145)-1)))</f>
        <v>35</v>
      </c>
      <c r="H120" s="117">
        <f>IF(Stage!K145="",0,LEN(TRIM(Stage!K145))-LEN(SUBSTITUTE(TRIM(Stage!K145),",",""))+1)</f>
        <v>4</v>
      </c>
      <c r="I120" s="117">
        <f>Stage!O145+Stage!P145+Stage!N145+Stage!Q145+Stage!M145</f>
        <v>5</v>
      </c>
      <c r="J120" s="117">
        <f>IF(Stage!F145=0,0,I120/Stage!F145)</f>
        <v>2.8571428571428571E-2</v>
      </c>
      <c r="K120" s="118">
        <f t="shared" si="3"/>
        <v>45.073491128999954</v>
      </c>
      <c r="L120" s="118">
        <f t="shared" si="5"/>
        <v>35.771576755176419</v>
      </c>
      <c r="M120" s="117" t="str">
        <f t="shared" si="4"/>
        <v>어려움</v>
      </c>
    </row>
    <row r="121" spans="1:13" ht="15.95" customHeight="1" x14ac:dyDescent="0.3">
      <c r="A121" s="119">
        <v>108</v>
      </c>
      <c r="B121" s="119" t="str">
        <f>Stage!C146</f>
        <v>N 108</v>
      </c>
      <c r="C121" s="119">
        <f>Stage!F146</f>
        <v>160</v>
      </c>
      <c r="D121" s="119">
        <f>IF(Stage!G146="",0,LEN(TRIM(Stage!G146))-LEN(SUBSTITUTE(TRIM(Stage!G146),",",""))+1)</f>
        <v>3</v>
      </c>
      <c r="E121" s="119">
        <f>IF(ISERROR(FIND(",",Stage!H146)),VALUE(Stage!H146),(VALUE(LEFT(Stage!H146,FIND(",",Stage!H146)-1))+VALUE(TRIM(MID(Stage!H146,FIND("|",SUBSTITUTE(Stage!H146,",","|",LEN(Stage!H146)-LEN(SUBSTITUTE(Stage!H146,",",""))))+1,100))))/2)</f>
        <v>2.5</v>
      </c>
      <c r="F121" s="119">
        <f>IF(ISERROR(FIND(",",Stage!I146)),VALUE(Stage!I146),(VALUE(LEFT(Stage!I146,FIND(",",Stage!I146)-1))+VALUE(TRIM(MID(Stage!I146,FIND("|",SUBSTITUTE(Stage!I146,",","|",LEN(Stage!I146)-LEN(SUBSTITUTE(Stage!I146,",",""))))+1,100))))/2)</f>
        <v>0.3</v>
      </c>
      <c r="G121" s="119">
        <f>IF(ISERROR(FIND(",",Stage!J146)),VALUE(Stage!J146),VALUE(LEFT(Stage!J146,FIND(",",Stage!J146)-1)))</f>
        <v>32</v>
      </c>
      <c r="H121" s="119">
        <f>IF(Stage!K146="",0,LEN(TRIM(Stage!K146))-LEN(SUBSTITUTE(TRIM(Stage!K146),",",""))+1)</f>
        <v>4</v>
      </c>
      <c r="I121" s="119">
        <f>Stage!O146+Stage!P146+Stage!N146+Stage!Q146+Stage!M146</f>
        <v>2</v>
      </c>
      <c r="J121" s="119">
        <f>IF(Stage!F146=0,0,I121/Stage!F146)</f>
        <v>1.2500000000000001E-2</v>
      </c>
      <c r="K121" s="120">
        <f t="shared" si="3"/>
        <v>41.230625976210497</v>
      </c>
      <c r="L121" s="120">
        <f t="shared" si="5"/>
        <v>36.709139332772637</v>
      </c>
      <c r="M121" s="119" t="str">
        <f t="shared" si="4"/>
        <v>보통</v>
      </c>
    </row>
    <row r="122" spans="1:13" ht="15.95" customHeight="1" x14ac:dyDescent="0.3">
      <c r="A122" s="117">
        <v>109</v>
      </c>
      <c r="B122" s="117" t="str">
        <f>Stage!C147</f>
        <v>N 109</v>
      </c>
      <c r="C122" s="117">
        <f>Stage!F147</f>
        <v>95</v>
      </c>
      <c r="D122" s="117">
        <f>IF(Stage!G147="",0,LEN(TRIM(Stage!G147))-LEN(SUBSTITUTE(TRIM(Stage!G147),",",""))+1)</f>
        <v>3</v>
      </c>
      <c r="E122" s="117">
        <f>IF(ISERROR(FIND(",",Stage!H147)),VALUE(Stage!H147),(VALUE(LEFT(Stage!H147,FIND(",",Stage!H147)-1))+VALUE(TRIM(MID(Stage!H147,FIND("|",SUBSTITUTE(Stage!H147,",","|",LEN(Stage!H147)-LEN(SUBSTITUTE(Stage!H147,",",""))))+1,100))))/2)</f>
        <v>2</v>
      </c>
      <c r="F122" s="117">
        <f>IF(ISERROR(FIND(",",Stage!I147)),VALUE(Stage!I147),(VALUE(LEFT(Stage!I147,FIND(",",Stage!I147)-1))+VALUE(TRIM(MID(Stage!I147,FIND("|",SUBSTITUTE(Stage!I147,",","|",LEN(Stage!I147)-LEN(SUBSTITUTE(Stage!I147,",",""))))+1,100))))/2)</f>
        <v>0.5</v>
      </c>
      <c r="G122" s="117">
        <f>IF(ISERROR(FIND(",",Stage!J147)),VALUE(Stage!J147),VALUE(LEFT(Stage!J147,FIND(",",Stage!J147)-1)))</f>
        <v>23</v>
      </c>
      <c r="H122" s="117">
        <f>IF(Stage!K147="",0,LEN(TRIM(Stage!K147))-LEN(SUBSTITUTE(TRIM(Stage!K147),",",""))+1)</f>
        <v>3</v>
      </c>
      <c r="I122" s="117">
        <f>Stage!O147+Stage!P147+Stage!N147+Stage!Q147+Stage!M147</f>
        <v>0</v>
      </c>
      <c r="J122" s="117">
        <f>IF(Stage!F147=0,0,I122/Stage!F147)</f>
        <v>0</v>
      </c>
      <c r="K122" s="118">
        <f t="shared" si="3"/>
        <v>31.6146021066122</v>
      </c>
      <c r="L122" s="118">
        <f t="shared" si="5"/>
        <v>40.549445312187103</v>
      </c>
      <c r="M122" s="117" t="str">
        <f t="shared" si="4"/>
        <v>보통</v>
      </c>
    </row>
    <row r="123" spans="1:13" ht="15.95" customHeight="1" x14ac:dyDescent="0.3">
      <c r="A123" s="119">
        <v>110</v>
      </c>
      <c r="B123" s="119" t="str">
        <f>Stage!C148</f>
        <v>N 110</v>
      </c>
      <c r="C123" s="119">
        <f>Stage!F148</f>
        <v>135</v>
      </c>
      <c r="D123" s="119">
        <f>IF(Stage!G148="",0,LEN(TRIM(Stage!G148))-LEN(SUBSTITUTE(TRIM(Stage!G148),",",""))+1)</f>
        <v>3</v>
      </c>
      <c r="E123" s="119">
        <f>IF(ISERROR(FIND(",",Stage!H148)),VALUE(Stage!H148),(VALUE(LEFT(Stage!H148,FIND(",",Stage!H148)-1))+VALUE(TRIM(MID(Stage!H148,FIND("|",SUBSTITUTE(Stage!H148,",","|",LEN(Stage!H148)-LEN(SUBSTITUTE(Stage!H148,",",""))))+1,100))))/2)</f>
        <v>2.5</v>
      </c>
      <c r="F123" s="119">
        <f>IF(ISERROR(FIND(",",Stage!I148)),VALUE(Stage!I148),(VALUE(LEFT(Stage!I148,FIND(",",Stage!I148)-1))+VALUE(TRIM(MID(Stage!I148,FIND("|",SUBSTITUTE(Stage!I148,",","|",LEN(Stage!I148)-LEN(SUBSTITUTE(Stage!I148,",",""))))+1,100))))/2)</f>
        <v>0.4</v>
      </c>
      <c r="G123" s="119">
        <f>IF(ISERROR(FIND(",",Stage!J148)),VALUE(Stage!J148),VALUE(LEFT(Stage!J148,FIND(",",Stage!J148)-1)))</f>
        <v>33</v>
      </c>
      <c r="H123" s="119">
        <f>IF(Stage!K148="",0,LEN(TRIM(Stage!K148))-LEN(SUBSTITUTE(TRIM(Stage!K148),",",""))+1)</f>
        <v>3</v>
      </c>
      <c r="I123" s="119">
        <f>Stage!O148+Stage!P148+Stage!N148+Stage!Q148+Stage!M148</f>
        <v>0</v>
      </c>
      <c r="J123" s="119">
        <f>IF(Stage!F148=0,0,I123/Stage!F148)</f>
        <v>0</v>
      </c>
      <c r="K123" s="120">
        <f t="shared" si="3"/>
        <v>35.356241739757294</v>
      </c>
      <c r="L123" s="120">
        <f t="shared" si="5"/>
        <v>41.172930012162446</v>
      </c>
      <c r="M123" s="119" t="str">
        <f t="shared" si="4"/>
        <v>보통</v>
      </c>
    </row>
    <row r="124" spans="1:13" ht="15.95" customHeight="1" x14ac:dyDescent="0.3">
      <c r="A124" s="117">
        <v>111</v>
      </c>
      <c r="B124" s="117" t="str">
        <f>Stage!C149</f>
        <v>N 111</v>
      </c>
      <c r="C124" s="117">
        <f>Stage!F149</f>
        <v>200</v>
      </c>
      <c r="D124" s="117">
        <f>IF(Stage!G149="",0,LEN(TRIM(Stage!G149))-LEN(SUBSTITUTE(TRIM(Stage!G149),",",""))+1)</f>
        <v>3</v>
      </c>
      <c r="E124" s="117">
        <f>IF(ISERROR(FIND(",",Stage!H149)),VALUE(Stage!H149),(VALUE(LEFT(Stage!H149,FIND(",",Stage!H149)-1))+VALUE(TRIM(MID(Stage!H149,FIND("|",SUBSTITUTE(Stage!H149,",","|",LEN(Stage!H149)-LEN(SUBSTITUTE(Stage!H149,",",""))))+1,100))))/2)</f>
        <v>3</v>
      </c>
      <c r="F124" s="117">
        <f>IF(ISERROR(FIND(",",Stage!I149)),VALUE(Stage!I149),(VALUE(LEFT(Stage!I149,FIND(",",Stage!I149)-1))+VALUE(TRIM(MID(Stage!I149,FIND("|",SUBSTITUTE(Stage!I149,",","|",LEN(Stage!I149)-LEN(SUBSTITUTE(Stage!I149,",",""))))+1,100))))/2)</f>
        <v>0.2</v>
      </c>
      <c r="G124" s="117">
        <f>IF(ISERROR(FIND(",",Stage!J149)),VALUE(Stage!J149),VALUE(LEFT(Stage!J149,FIND(",",Stage!J149)-1)))</f>
        <v>40</v>
      </c>
      <c r="H124" s="117">
        <f>IF(Stage!K149="",0,LEN(TRIM(Stage!K149))-LEN(SUBSTITUTE(TRIM(Stage!K149),",",""))+1)</f>
        <v>4</v>
      </c>
      <c r="I124" s="117">
        <f>Stage!O149+Stage!P149+Stage!N149+Stage!Q149+Stage!M149</f>
        <v>11</v>
      </c>
      <c r="J124" s="117">
        <f>IF(Stage!F149=0,0,I124/Stage!F149)</f>
        <v>5.5E-2</v>
      </c>
      <c r="K124" s="118">
        <f t="shared" si="3"/>
        <v>49.472265609355603</v>
      </c>
      <c r="L124" s="118">
        <f t="shared" si="5"/>
        <v>40.29589448811263</v>
      </c>
      <c r="M124" s="117" t="str">
        <f t="shared" si="4"/>
        <v>어려움</v>
      </c>
    </row>
    <row r="125" spans="1:13" ht="15.95" customHeight="1" x14ac:dyDescent="0.3">
      <c r="A125" s="119">
        <v>112</v>
      </c>
      <c r="B125" s="119" t="str">
        <f>Stage!C150</f>
        <v>N 112</v>
      </c>
      <c r="C125" s="119">
        <f>Stage!F150</f>
        <v>190</v>
      </c>
      <c r="D125" s="119">
        <f>IF(Stage!G150="",0,LEN(TRIM(Stage!G150))-LEN(SUBSTITUTE(TRIM(Stage!G150),",",""))+1)</f>
        <v>3</v>
      </c>
      <c r="E125" s="119">
        <f>IF(ISERROR(FIND(",",Stage!H150)),VALUE(Stage!H150),(VALUE(LEFT(Stage!H150,FIND(",",Stage!H150)-1))+VALUE(TRIM(MID(Stage!H150,FIND("|",SUBSTITUTE(Stage!H150,",","|",LEN(Stage!H150)-LEN(SUBSTITUTE(Stage!H150,",",""))))+1,100))))/2)</f>
        <v>3</v>
      </c>
      <c r="F125" s="119">
        <f>IF(ISERROR(FIND(",",Stage!I150)),VALUE(Stage!I150),(VALUE(LEFT(Stage!I150,FIND(",",Stage!I150)-1))+VALUE(TRIM(MID(Stage!I150,FIND("|",SUBSTITUTE(Stage!I150,",","|",LEN(Stage!I150)-LEN(SUBSTITUTE(Stage!I150,",",""))))+1,100))))/2)</f>
        <v>0.2</v>
      </c>
      <c r="G125" s="119">
        <f>IF(ISERROR(FIND(",",Stage!J150)),VALUE(Stage!J150),VALUE(LEFT(Stage!J150,FIND(",",Stage!J150)-1)))</f>
        <v>38</v>
      </c>
      <c r="H125" s="119">
        <f>IF(Stage!K150="",0,LEN(TRIM(Stage!K150))-LEN(SUBSTITUTE(TRIM(Stage!K150),",",""))+1)</f>
        <v>4</v>
      </c>
      <c r="I125" s="119">
        <f>Stage!O150+Stage!P150+Stage!N150+Stage!Q150+Stage!M150</f>
        <v>8</v>
      </c>
      <c r="J125" s="119">
        <f>IF(Stage!F150=0,0,I125/Stage!F150)</f>
        <v>4.2105263157894736E-2</v>
      </c>
      <c r="K125" s="120">
        <f t="shared" si="3"/>
        <v>48.190914628876648</v>
      </c>
      <c r="L125" s="120">
        <f t="shared" si="5"/>
        <v>41.044222414741647</v>
      </c>
      <c r="M125" s="119" t="str">
        <f t="shared" si="4"/>
        <v>어려움</v>
      </c>
    </row>
    <row r="126" spans="1:13" ht="15.95" customHeight="1" x14ac:dyDescent="0.3">
      <c r="A126" s="117">
        <v>113</v>
      </c>
      <c r="B126" s="117" t="str">
        <f>Stage!C151</f>
        <v>N 113</v>
      </c>
      <c r="C126" s="117">
        <f>Stage!F151</f>
        <v>150</v>
      </c>
      <c r="D126" s="117">
        <f>IF(Stage!G151="",0,LEN(TRIM(Stage!G151))-LEN(SUBSTITUTE(TRIM(Stage!G151),",",""))+1)</f>
        <v>3</v>
      </c>
      <c r="E126" s="117">
        <f>IF(ISERROR(FIND(",",Stage!H151)),VALUE(Stage!H151),(VALUE(LEFT(Stage!H151,FIND(",",Stage!H151)-1))+VALUE(TRIM(MID(Stage!H151,FIND("|",SUBSTITUTE(Stage!H151,",","|",LEN(Stage!H151)-LEN(SUBSTITUTE(Stage!H151,",",""))))+1,100))))/2)</f>
        <v>2.5</v>
      </c>
      <c r="F126" s="117">
        <f>IF(ISERROR(FIND(",",Stage!I151)),VALUE(Stage!I151),(VALUE(LEFT(Stage!I151,FIND(",",Stage!I151)-1))+VALUE(TRIM(MID(Stage!I151,FIND("|",SUBSTITUTE(Stage!I151,",","|",LEN(Stage!I151)-LEN(SUBSTITUTE(Stage!I151,",",""))))+1,100))))/2)</f>
        <v>0.4</v>
      </c>
      <c r="G126" s="117">
        <f>IF(ISERROR(FIND(",",Stage!J151)),VALUE(Stage!J151),VALUE(LEFT(Stage!J151,FIND(",",Stage!J151)-1)))</f>
        <v>37</v>
      </c>
      <c r="H126" s="117">
        <f>IF(Stage!K151="",0,LEN(TRIM(Stage!K151))-LEN(SUBSTITUTE(TRIM(Stage!K151),",",""))+1)</f>
        <v>3</v>
      </c>
      <c r="I126" s="117">
        <f>Stage!O151+Stage!P151+Stage!N151+Stage!Q151+Stage!M151</f>
        <v>1</v>
      </c>
      <c r="J126" s="117">
        <f>IF(Stage!F151=0,0,I126/Stage!F151)</f>
        <v>6.6666666666666671E-3</v>
      </c>
      <c r="K126" s="118">
        <f t="shared" si="3"/>
        <v>36.845448355961388</v>
      </c>
      <c r="L126" s="118">
        <f t="shared" si="5"/>
        <v>40.202779024938295</v>
      </c>
      <c r="M126" s="117" t="str">
        <f t="shared" si="4"/>
        <v>보통</v>
      </c>
    </row>
    <row r="127" spans="1:13" ht="15.95" customHeight="1" x14ac:dyDescent="0.3">
      <c r="A127" s="119">
        <v>114</v>
      </c>
      <c r="B127" s="119" t="str">
        <f>Stage!C152</f>
        <v>N 114</v>
      </c>
      <c r="C127" s="119">
        <f>Stage!F152</f>
        <v>135</v>
      </c>
      <c r="D127" s="119">
        <f>IF(Stage!G152="",0,LEN(TRIM(Stage!G152))-LEN(SUBSTITUTE(TRIM(Stage!G152),",",""))+1)</f>
        <v>3</v>
      </c>
      <c r="E127" s="119">
        <f>IF(ISERROR(FIND(",",Stage!H152)),VALUE(Stage!H152),(VALUE(LEFT(Stage!H152,FIND(",",Stage!H152)-1))+VALUE(TRIM(MID(Stage!H152,FIND("|",SUBSTITUTE(Stage!H152,",","|",LEN(Stage!H152)-LEN(SUBSTITUTE(Stage!H152,",",""))))+1,100))))/2)</f>
        <v>2.5</v>
      </c>
      <c r="F127" s="119">
        <f>IF(ISERROR(FIND(",",Stage!I152)),VALUE(Stage!I152),(VALUE(LEFT(Stage!I152,FIND(",",Stage!I152)-1))+VALUE(TRIM(MID(Stage!I152,FIND("|",SUBSTITUTE(Stage!I152,",","|",LEN(Stage!I152)-LEN(SUBSTITUTE(Stage!I152,",",""))))+1,100))))/2)</f>
        <v>0.4</v>
      </c>
      <c r="G127" s="119">
        <f>IF(ISERROR(FIND(",",Stage!J152)),VALUE(Stage!J152),VALUE(LEFT(Stage!J152,FIND(",",Stage!J152)-1)))</f>
        <v>33</v>
      </c>
      <c r="H127" s="119">
        <f>IF(Stage!K152="",0,LEN(TRIM(Stage!K152))-LEN(SUBSTITUTE(TRIM(Stage!K152),",",""))+1)</f>
        <v>3</v>
      </c>
      <c r="I127" s="119">
        <f>Stage!O152+Stage!P152+Stage!N152+Stage!Q152+Stage!M152</f>
        <v>0</v>
      </c>
      <c r="J127" s="119">
        <f>IF(Stage!F152=0,0,I127/Stage!F152)</f>
        <v>0</v>
      </c>
      <c r="K127" s="120">
        <f t="shared" si="3"/>
        <v>35.356241739757294</v>
      </c>
      <c r="L127" s="120">
        <f t="shared" si="5"/>
        <v>38.067659476698466</v>
      </c>
      <c r="M127" s="119" t="str">
        <f t="shared" si="4"/>
        <v>보통</v>
      </c>
    </row>
    <row r="128" spans="1:13" ht="15.95" customHeight="1" x14ac:dyDescent="0.3">
      <c r="A128" s="117">
        <v>115</v>
      </c>
      <c r="B128" s="117" t="str">
        <f>Stage!C153</f>
        <v>N 115</v>
      </c>
      <c r="C128" s="117">
        <f>Stage!F153</f>
        <v>105</v>
      </c>
      <c r="D128" s="117">
        <f>IF(Stage!G153="",0,LEN(TRIM(Stage!G153))-LEN(SUBSTITUTE(TRIM(Stage!G153),",",""))+1)</f>
        <v>3</v>
      </c>
      <c r="E128" s="117">
        <f>IF(ISERROR(FIND(",",Stage!H153)),VALUE(Stage!H153),(VALUE(LEFT(Stage!H153,FIND(",",Stage!H153)-1))+VALUE(TRIM(MID(Stage!H153,FIND("|",SUBSTITUTE(Stage!H153,",","|",LEN(Stage!H153)-LEN(SUBSTITUTE(Stage!H153,",",""))))+1,100))))/2)</f>
        <v>2</v>
      </c>
      <c r="F128" s="117">
        <f>IF(ISERROR(FIND(",",Stage!I153)),VALUE(Stage!I153),(VALUE(LEFT(Stage!I153,FIND(",",Stage!I153)-1))+VALUE(TRIM(MID(Stage!I153,FIND("|",SUBSTITUTE(Stage!I153,",","|",LEN(Stage!I153)-LEN(SUBSTITUTE(Stage!I153,",",""))))+1,100))))/2)</f>
        <v>0.5</v>
      </c>
      <c r="G128" s="117">
        <f>IF(ISERROR(FIND(",",Stage!J153)),VALUE(Stage!J153),VALUE(LEFT(Stage!J153,FIND(",",Stage!J153)-1)))</f>
        <v>26</v>
      </c>
      <c r="H128" s="117">
        <f>IF(Stage!K153="",0,LEN(TRIM(Stage!K153))-LEN(SUBSTITUTE(TRIM(Stage!K153),",",""))+1)</f>
        <v>3</v>
      </c>
      <c r="I128" s="117">
        <f>Stage!O153+Stage!P153+Stage!N153+Stage!Q153+Stage!M153</f>
        <v>0</v>
      </c>
      <c r="J128" s="117">
        <f>IF(Stage!F153=0,0,I128/Stage!F153)</f>
        <v>0</v>
      </c>
      <c r="K128" s="118">
        <f t="shared" si="3"/>
        <v>31.149024790740526</v>
      </c>
      <c r="L128" s="118">
        <f t="shared" si="5"/>
        <v>37.954411794950062</v>
      </c>
      <c r="M128" s="117" t="str">
        <f t="shared" si="4"/>
        <v>보통</v>
      </c>
    </row>
    <row r="129" spans="1:13" ht="15.95" customHeight="1" x14ac:dyDescent="0.3">
      <c r="A129" s="119">
        <v>116</v>
      </c>
      <c r="B129" s="119" t="str">
        <f>Stage!C154</f>
        <v>N 116</v>
      </c>
      <c r="C129" s="119">
        <f>Stage!F154</f>
        <v>150</v>
      </c>
      <c r="D129" s="119">
        <f>IF(Stage!G154="",0,LEN(TRIM(Stage!G154))-LEN(SUBSTITUTE(TRIM(Stage!G154),",",""))+1)</f>
        <v>3</v>
      </c>
      <c r="E129" s="119">
        <f>IF(ISERROR(FIND(",",Stage!H154)),VALUE(Stage!H154),(VALUE(LEFT(Stage!H154,FIND(",",Stage!H154)-1))+VALUE(TRIM(MID(Stage!H154,FIND("|",SUBSTITUTE(Stage!H154,",","|",LEN(Stage!H154)-LEN(SUBSTITUTE(Stage!H154,",",""))))+1,100))))/2)</f>
        <v>2.5</v>
      </c>
      <c r="F129" s="119">
        <f>IF(ISERROR(FIND(",",Stage!I154)),VALUE(Stage!I154),(VALUE(LEFT(Stage!I154,FIND(",",Stage!I154)-1))+VALUE(TRIM(MID(Stage!I154,FIND("|",SUBSTITUTE(Stage!I154,",","|",LEN(Stage!I154)-LEN(SUBSTITUTE(Stage!I154,",",""))))+1,100))))/2)</f>
        <v>0.4</v>
      </c>
      <c r="G129" s="119">
        <f>IF(ISERROR(FIND(",",Stage!J154)),VALUE(Stage!J154),VALUE(LEFT(Stage!J154,FIND(",",Stage!J154)-1)))</f>
        <v>30</v>
      </c>
      <c r="H129" s="119">
        <f>IF(Stage!K154="",0,LEN(TRIM(Stage!K154))-LEN(SUBSTITUTE(TRIM(Stage!K154),",",""))+1)</f>
        <v>4</v>
      </c>
      <c r="I129" s="119">
        <f>Stage!O154+Stage!P154+Stage!N154+Stage!Q154+Stage!M154</f>
        <v>1</v>
      </c>
      <c r="J129" s="119">
        <f>IF(Stage!F154=0,0,I129/Stage!F154)</f>
        <v>6.6666666666666671E-3</v>
      </c>
      <c r="K129" s="120">
        <f t="shared" si="3"/>
        <v>38.796667868156511</v>
      </c>
      <c r="L129" s="120">
        <f t="shared" si="5"/>
        <v>40.259448566863028</v>
      </c>
      <c r="M129" s="119" t="str">
        <f t="shared" si="4"/>
        <v>보통</v>
      </c>
    </row>
    <row r="130" spans="1:13" ht="15.95" customHeight="1" x14ac:dyDescent="0.3">
      <c r="A130" s="117">
        <v>117</v>
      </c>
      <c r="B130" s="117" t="str">
        <f>Stage!C155</f>
        <v>N 117</v>
      </c>
      <c r="C130" s="117">
        <f>Stage!F155</f>
        <v>185</v>
      </c>
      <c r="D130" s="117">
        <f>IF(Stage!G155="",0,LEN(TRIM(Stage!G155))-LEN(SUBSTITUTE(TRIM(Stage!G155),",",""))+1)</f>
        <v>3</v>
      </c>
      <c r="E130" s="117">
        <f>IF(ISERROR(FIND(",",Stage!H155)),VALUE(Stage!H155),(VALUE(LEFT(Stage!H155,FIND(",",Stage!H155)-1))+VALUE(TRIM(MID(Stage!H155,FIND("|",SUBSTITUTE(Stage!H155,",","|",LEN(Stage!H155)-LEN(SUBSTITUTE(Stage!H155,",",""))))+1,100))))/2)</f>
        <v>3</v>
      </c>
      <c r="F130" s="117">
        <f>IF(ISERROR(FIND(",",Stage!I155)),VALUE(Stage!I155),(VALUE(LEFT(Stage!I155,FIND(",",Stage!I155)-1))+VALUE(TRIM(MID(Stage!I155,FIND("|",SUBSTITUTE(Stage!I155,",","|",LEN(Stage!I155)-LEN(SUBSTITUTE(Stage!I155,",",""))))+1,100))))/2)</f>
        <v>0.2</v>
      </c>
      <c r="G130" s="117">
        <f>IF(ISERROR(FIND(",",Stage!J155)),VALUE(Stage!J155),VALUE(LEFT(Stage!J155,FIND(",",Stage!J155)-1)))</f>
        <v>37</v>
      </c>
      <c r="H130" s="117">
        <f>IF(Stage!K155="",0,LEN(TRIM(Stage!K155))-LEN(SUBSTITUTE(TRIM(Stage!K155),",",""))+1)</f>
        <v>4</v>
      </c>
      <c r="I130" s="117">
        <f>Stage!O155+Stage!P155+Stage!N155+Stage!Q155+Stage!M155</f>
        <v>7</v>
      </c>
      <c r="J130" s="117">
        <f>IF(Stage!F155=0,0,I130/Stage!F155)</f>
        <v>3.783783783783784E-2</v>
      </c>
      <c r="K130" s="118">
        <f t="shared" si="3"/>
        <v>47.624676220134596</v>
      </c>
      <c r="L130" s="118">
        <f t="shared" si="5"/>
        <v>42.281582679829775</v>
      </c>
      <c r="M130" s="117" t="str">
        <f t="shared" si="4"/>
        <v>어려움</v>
      </c>
    </row>
    <row r="131" spans="1:13" ht="15.95" customHeight="1" x14ac:dyDescent="0.3">
      <c r="A131" s="119">
        <v>118</v>
      </c>
      <c r="B131" s="119" t="str">
        <f>Stage!C156</f>
        <v>N 118</v>
      </c>
      <c r="C131" s="119">
        <f>Stage!F156</f>
        <v>190</v>
      </c>
      <c r="D131" s="119">
        <f>IF(Stage!G156="",0,LEN(TRIM(Stage!G156))-LEN(SUBSTITUTE(TRIM(Stage!G156),",",""))+1)</f>
        <v>3</v>
      </c>
      <c r="E131" s="119">
        <f>IF(ISERROR(FIND(",",Stage!H156)),VALUE(Stage!H156),(VALUE(LEFT(Stage!H156,FIND(",",Stage!H156)-1))+VALUE(TRIM(MID(Stage!H156,FIND("|",SUBSTITUTE(Stage!H156,",","|",LEN(Stage!H156)-LEN(SUBSTITUTE(Stage!H156,",",""))))+1,100))))/2)</f>
        <v>3</v>
      </c>
      <c r="F131" s="119">
        <f>IF(ISERROR(FIND(",",Stage!I156)),VALUE(Stage!I156),(VALUE(LEFT(Stage!I156,FIND(",",Stage!I156)-1))+VALUE(TRIM(MID(Stage!I156,FIND("|",SUBSTITUTE(Stage!I156,",","|",LEN(Stage!I156)-LEN(SUBSTITUTE(Stage!I156,",",""))))+1,100))))/2)</f>
        <v>0.2</v>
      </c>
      <c r="G131" s="119">
        <f>IF(ISERROR(FIND(",",Stage!J156)),VALUE(Stage!J156),VALUE(LEFT(Stage!J156,FIND(",",Stage!J156)-1)))</f>
        <v>38</v>
      </c>
      <c r="H131" s="119">
        <f>IF(Stage!K156="",0,LEN(TRIM(Stage!K156))-LEN(SUBSTITUTE(TRIM(Stage!K156),",",""))+1)</f>
        <v>4</v>
      </c>
      <c r="I131" s="119">
        <f>Stage!O156+Stage!P156+Stage!N156+Stage!Q156+Stage!M156</f>
        <v>9</v>
      </c>
      <c r="J131" s="119">
        <f>IF(Stage!F156=0,0,I131/Stage!F156)</f>
        <v>4.736842105263158E-2</v>
      </c>
      <c r="K131" s="120">
        <f t="shared" si="3"/>
        <v>48.3706322155262</v>
      </c>
      <c r="L131" s="120">
        <f t="shared" si="5"/>
        <v>44.82731393203705</v>
      </c>
      <c r="M131" s="119" t="str">
        <f t="shared" si="4"/>
        <v>어려움</v>
      </c>
    </row>
    <row r="132" spans="1:13" ht="15.95" customHeight="1" x14ac:dyDescent="0.3">
      <c r="A132" s="117">
        <v>119</v>
      </c>
      <c r="B132" s="117" t="str">
        <f>Stage!C157</f>
        <v>N 119</v>
      </c>
      <c r="C132" s="117">
        <f>Stage!F157</f>
        <v>180</v>
      </c>
      <c r="D132" s="117">
        <f>IF(Stage!G157="",0,LEN(TRIM(Stage!G157))-LEN(SUBSTITUTE(TRIM(Stage!G157),",",""))+1)</f>
        <v>3</v>
      </c>
      <c r="E132" s="117">
        <f>IF(ISERROR(FIND(",",Stage!H157)),VALUE(Stage!H157),(VALUE(LEFT(Stage!H157,FIND(",",Stage!H157)-1))+VALUE(TRIM(MID(Stage!H157,FIND("|",SUBSTITUTE(Stage!H157,",","|",LEN(Stage!H157)-LEN(SUBSTITUTE(Stage!H157,",",""))))+1,100))))/2)</f>
        <v>3</v>
      </c>
      <c r="F132" s="117">
        <f>IF(ISERROR(FIND(",",Stage!I157)),VALUE(Stage!I157),(VALUE(LEFT(Stage!I157,FIND(",",Stage!I157)-1))+VALUE(TRIM(MID(Stage!I157,FIND("|",SUBSTITUTE(Stage!I157,",","|",LEN(Stage!I157)-LEN(SUBSTITUTE(Stage!I157,",",""))))+1,100))))/2)</f>
        <v>0.3</v>
      </c>
      <c r="G132" s="117">
        <f>IF(ISERROR(FIND(",",Stage!J157)),VALUE(Stage!J157),VALUE(LEFT(Stage!J157,FIND(",",Stage!J157)-1)))</f>
        <v>36</v>
      </c>
      <c r="H132" s="117">
        <f>IF(Stage!K157="",0,LEN(TRIM(Stage!K157))-LEN(SUBSTITUTE(TRIM(Stage!K157),",",""))+1)</f>
        <v>4</v>
      </c>
      <c r="I132" s="117">
        <f>Stage!O157+Stage!P157+Stage!N157+Stage!Q157+Stage!M157</f>
        <v>5</v>
      </c>
      <c r="J132" s="117">
        <f>IF(Stage!F157=0,0,I132/Stage!F157)</f>
        <v>2.7777777777777776E-2</v>
      </c>
      <c r="K132" s="118">
        <f t="shared" si="3"/>
        <v>45.46691230459102</v>
      </c>
      <c r="L132" s="118">
        <f t="shared" si="5"/>
        <v>46.962433480276879</v>
      </c>
      <c r="M132" s="117" t="str">
        <f t="shared" si="4"/>
        <v>어려움</v>
      </c>
    </row>
    <row r="133" spans="1:13" ht="15.95" customHeight="1" x14ac:dyDescent="0.3">
      <c r="A133" s="119">
        <v>120</v>
      </c>
      <c r="B133" s="119" t="str">
        <f>Stage!C158</f>
        <v>N 120</v>
      </c>
      <c r="C133" s="119">
        <f>Stage!F158</f>
        <v>165</v>
      </c>
      <c r="D133" s="119">
        <f>IF(Stage!G158="",0,LEN(TRIM(Stage!G158))-LEN(SUBSTITUTE(TRIM(Stage!G158),",",""))+1)</f>
        <v>3</v>
      </c>
      <c r="E133" s="119">
        <f>IF(ISERROR(FIND(",",Stage!H158)),VALUE(Stage!H158),(VALUE(LEFT(Stage!H158,FIND(",",Stage!H158)-1))+VALUE(TRIM(MID(Stage!H158,FIND("|",SUBSTITUTE(Stage!H158,",","|",LEN(Stage!H158)-LEN(SUBSTITUTE(Stage!H158,",",""))))+1,100))))/2)</f>
        <v>3</v>
      </c>
      <c r="F133" s="119">
        <f>IF(ISERROR(FIND(",",Stage!I158)),VALUE(Stage!I158),(VALUE(LEFT(Stage!I158,FIND(",",Stage!I158)-1))+VALUE(TRIM(MID(Stage!I158,FIND("|",SUBSTITUTE(Stage!I158,",","|",LEN(Stage!I158)-LEN(SUBSTITUTE(Stage!I158,",",""))))+1,100))))/2)</f>
        <v>0.3</v>
      </c>
      <c r="G133" s="119">
        <f>IF(ISERROR(FIND(",",Stage!J158)),VALUE(Stage!J158),VALUE(LEFT(Stage!J158,FIND(",",Stage!J158)-1)))</f>
        <v>33</v>
      </c>
      <c r="H133" s="119">
        <f>IF(Stage!K158="",0,LEN(TRIM(Stage!K158))-LEN(SUBSTITUTE(TRIM(Stage!K158),",",""))+1)</f>
        <v>4</v>
      </c>
      <c r="I133" s="119">
        <f>Stage!O158+Stage!P158+Stage!N158+Stage!Q158+Stage!M158</f>
        <v>3</v>
      </c>
      <c r="J133" s="119">
        <f>IF(Stage!F158=0,0,I133/Stage!F158)</f>
        <v>1.8181818181818181E-2</v>
      </c>
      <c r="K133" s="120">
        <f t="shared" si="3"/>
        <v>43.877681051776932</v>
      </c>
      <c r="L133" s="120">
        <f t="shared" si="5"/>
        <v>47.331951358121067</v>
      </c>
      <c r="M133" s="119" t="str">
        <f t="shared" si="4"/>
        <v>보통</v>
      </c>
    </row>
    <row r="134" spans="1:13" ht="15.95" customHeight="1" x14ac:dyDescent="0.3">
      <c r="A134" s="117">
        <v>121</v>
      </c>
      <c r="B134" s="117" t="str">
        <f>Stage!C159</f>
        <v>N 121</v>
      </c>
      <c r="C134" s="117">
        <f>Stage!F159</f>
        <v>200</v>
      </c>
      <c r="D134" s="117">
        <f>IF(Stage!G159="",0,LEN(TRIM(Stage!G159))-LEN(SUBSTITUTE(TRIM(Stage!G159),",",""))+1)</f>
        <v>3</v>
      </c>
      <c r="E134" s="117">
        <f>IF(ISERROR(FIND(",",Stage!H159)),VALUE(Stage!H159),(VALUE(LEFT(Stage!H159,FIND(",",Stage!H159)-1))+VALUE(TRIM(MID(Stage!H159,FIND("|",SUBSTITUTE(Stage!H159,",","|",LEN(Stage!H159)-LEN(SUBSTITUTE(Stage!H159,",",""))))+1,100))))/2)</f>
        <v>3</v>
      </c>
      <c r="F134" s="117">
        <f>IF(ISERROR(FIND(",",Stage!I159)),VALUE(Stage!I159),(VALUE(LEFT(Stage!I159,FIND(",",Stage!I159)-1))+VALUE(TRIM(MID(Stage!I159,FIND("|",SUBSTITUTE(Stage!I159,",","|",LEN(Stage!I159)-LEN(SUBSTITUTE(Stage!I159,",",""))))+1,100))))/2)</f>
        <v>0.2</v>
      </c>
      <c r="G134" s="117">
        <f>IF(ISERROR(FIND(",",Stage!J159)),VALUE(Stage!J159),VALUE(LEFT(Stage!J159,FIND(",",Stage!J159)-1)))</f>
        <v>40</v>
      </c>
      <c r="H134" s="117">
        <f>IF(Stage!K159="",0,LEN(TRIM(Stage!K159))-LEN(SUBSTITUTE(TRIM(Stage!K159),",",""))+1)</f>
        <v>4</v>
      </c>
      <c r="I134" s="117">
        <f>Stage!O159+Stage!P159+Stage!N159+Stage!Q159+Stage!M159</f>
        <v>11</v>
      </c>
      <c r="J134" s="117">
        <f>IF(Stage!F159=0,0,I134/Stage!F159)</f>
        <v>5.5E-2</v>
      </c>
      <c r="K134" s="118">
        <f t="shared" si="3"/>
        <v>49.472265609355603</v>
      </c>
      <c r="L134" s="118">
        <f t="shared" si="5"/>
        <v>45.026914586208107</v>
      </c>
      <c r="M134" s="117" t="str">
        <f t="shared" si="4"/>
        <v>어려움</v>
      </c>
    </row>
    <row r="135" spans="1:13" ht="15.95" customHeight="1" x14ac:dyDescent="0.3">
      <c r="A135" s="119">
        <v>122</v>
      </c>
      <c r="B135" s="119" t="str">
        <f>Stage!C160</f>
        <v>N 122</v>
      </c>
      <c r="C135" s="119">
        <f>Stage!F160</f>
        <v>200</v>
      </c>
      <c r="D135" s="119">
        <f>IF(Stage!G160="",0,LEN(TRIM(Stage!G160))-LEN(SUBSTITUTE(TRIM(Stage!G160),",",""))+1)</f>
        <v>3</v>
      </c>
      <c r="E135" s="119">
        <f>IF(ISERROR(FIND(",",Stage!H160)),VALUE(Stage!H160),(VALUE(LEFT(Stage!H160,FIND(",",Stage!H160)-1))+VALUE(TRIM(MID(Stage!H160,FIND("|",SUBSTITUTE(Stage!H160,",","|",LEN(Stage!H160)-LEN(SUBSTITUTE(Stage!H160,",",""))))+1,100))))/2)</f>
        <v>3</v>
      </c>
      <c r="F135" s="119">
        <f>IF(ISERROR(FIND(",",Stage!I160)),VALUE(Stage!I160),(VALUE(LEFT(Stage!I160,FIND(",",Stage!I160)-1))+VALUE(TRIM(MID(Stage!I160,FIND("|",SUBSTITUTE(Stage!I160,",","|",LEN(Stage!I160)-LEN(SUBSTITUTE(Stage!I160,",",""))))+1,100))))/2)</f>
        <v>0.2</v>
      </c>
      <c r="G135" s="119">
        <f>IF(ISERROR(FIND(",",Stage!J160)),VALUE(Stage!J160),VALUE(LEFT(Stage!J160,FIND(",",Stage!J160)-1)))</f>
        <v>40</v>
      </c>
      <c r="H135" s="119">
        <f>IF(Stage!K160="",0,LEN(TRIM(Stage!K160))-LEN(SUBSTITUTE(TRIM(Stage!K160),",",""))+1)</f>
        <v>4</v>
      </c>
      <c r="I135" s="119">
        <f>Stage!O160+Stage!P160+Stage!N160+Stage!Q160+Stage!M160</f>
        <v>11</v>
      </c>
      <c r="J135" s="119">
        <f>IF(Stage!F160=0,0,I135/Stage!F160)</f>
        <v>5.5E-2</v>
      </c>
      <c r="K135" s="120">
        <f t="shared" si="3"/>
        <v>49.472265609355603</v>
      </c>
      <c r="L135" s="120">
        <f t="shared" si="5"/>
        <v>45.458467369316828</v>
      </c>
      <c r="M135" s="119" t="str">
        <f t="shared" si="4"/>
        <v>어려움</v>
      </c>
    </row>
    <row r="136" spans="1:13" ht="15.95" customHeight="1" x14ac:dyDescent="0.3">
      <c r="A136" s="117">
        <v>123</v>
      </c>
      <c r="B136" s="117" t="str">
        <f>Stage!C161</f>
        <v>N 123</v>
      </c>
      <c r="C136" s="117">
        <f>Stage!F161</f>
        <v>150</v>
      </c>
      <c r="D136" s="117">
        <f>IF(Stage!G161="",0,LEN(TRIM(Stage!G161))-LEN(SUBSTITUTE(TRIM(Stage!G161),",",""))+1)</f>
        <v>3</v>
      </c>
      <c r="E136" s="117">
        <f>IF(ISERROR(FIND(",",Stage!H161)),VALUE(Stage!H161),(VALUE(LEFT(Stage!H161,FIND(",",Stage!H161)-1))+VALUE(TRIM(MID(Stage!H161,FIND("|",SUBSTITUTE(Stage!H161,",","|",LEN(Stage!H161)-LEN(SUBSTITUTE(Stage!H161,",",""))))+1,100))))/2)</f>
        <v>2.5</v>
      </c>
      <c r="F136" s="117">
        <f>IF(ISERROR(FIND(",",Stage!I161)),VALUE(Stage!I161),(VALUE(LEFT(Stage!I161,FIND(",",Stage!I161)-1))+VALUE(TRIM(MID(Stage!I161,FIND("|",SUBSTITUTE(Stage!I161,",","|",LEN(Stage!I161)-LEN(SUBSTITUTE(Stage!I161,",",""))))+1,100))))/2)</f>
        <v>0.4</v>
      </c>
      <c r="G136" s="117">
        <f>IF(ISERROR(FIND(",",Stage!J161)),VALUE(Stage!J161),VALUE(LEFT(Stage!J161,FIND(",",Stage!J161)-1)))</f>
        <v>37</v>
      </c>
      <c r="H136" s="117">
        <f>IF(Stage!K161="",0,LEN(TRIM(Stage!K161))-LEN(SUBSTITUTE(TRIM(Stage!K161),",",""))+1)</f>
        <v>3</v>
      </c>
      <c r="I136" s="117">
        <f>Stage!O161+Stage!P161+Stage!N161+Stage!Q161+Stage!M161</f>
        <v>1</v>
      </c>
      <c r="J136" s="117">
        <f>IF(Stage!F161=0,0,I136/Stage!F161)</f>
        <v>6.6666666666666671E-3</v>
      </c>
      <c r="K136" s="118">
        <f t="shared" si="3"/>
        <v>36.845448355961388</v>
      </c>
      <c r="L136" s="118">
        <f t="shared" si="5"/>
        <v>45.814253999283437</v>
      </c>
      <c r="M136" s="117" t="str">
        <f t="shared" si="4"/>
        <v>보통</v>
      </c>
    </row>
    <row r="137" spans="1:13" ht="15.95" customHeight="1" x14ac:dyDescent="0.3">
      <c r="A137" s="119">
        <v>124</v>
      </c>
      <c r="B137" s="119" t="str">
        <f>Stage!C162</f>
        <v>N 124</v>
      </c>
      <c r="C137" s="119">
        <f>Stage!F162</f>
        <v>185</v>
      </c>
      <c r="D137" s="119">
        <f>IF(Stage!G162="",0,LEN(TRIM(Stage!G162))-LEN(SUBSTITUTE(TRIM(Stage!G162),",",""))+1)</f>
        <v>3</v>
      </c>
      <c r="E137" s="119">
        <f>IF(ISERROR(FIND(",",Stage!H162)),VALUE(Stage!H162),(VALUE(LEFT(Stage!H162,FIND(",",Stage!H162)-1))+VALUE(TRIM(MID(Stage!H162,FIND("|",SUBSTITUTE(Stage!H162,",","|",LEN(Stage!H162)-LEN(SUBSTITUTE(Stage!H162,",",""))))+1,100))))/2)</f>
        <v>3</v>
      </c>
      <c r="F137" s="119">
        <f>IF(ISERROR(FIND(",",Stage!I162)),VALUE(Stage!I162),(VALUE(LEFT(Stage!I162,FIND(",",Stage!I162)-1))+VALUE(TRIM(MID(Stage!I162,FIND("|",SUBSTITUTE(Stage!I162,",","|",LEN(Stage!I162)-LEN(SUBSTITUTE(Stage!I162,",",""))))+1,100))))/2)</f>
        <v>0.2</v>
      </c>
      <c r="G137" s="119">
        <f>IF(ISERROR(FIND(",",Stage!J162)),VALUE(Stage!J162),VALUE(LEFT(Stage!J162,FIND(",",Stage!J162)-1)))</f>
        <v>37</v>
      </c>
      <c r="H137" s="119">
        <f>IF(Stage!K162="",0,LEN(TRIM(Stage!K162))-LEN(SUBSTITUTE(TRIM(Stage!K162),",",""))+1)</f>
        <v>4</v>
      </c>
      <c r="I137" s="119">
        <f>Stage!O162+Stage!P162+Stage!N162+Stage!Q162+Stage!M162</f>
        <v>7</v>
      </c>
      <c r="J137" s="119">
        <f>IF(Stage!F162=0,0,I137/Stage!F162)</f>
        <v>3.783783783783784E-2</v>
      </c>
      <c r="K137" s="120">
        <f t="shared" si="3"/>
        <v>47.624676220134596</v>
      </c>
      <c r="L137" s="120">
        <f t="shared" si="5"/>
        <v>44.934499103212303</v>
      </c>
      <c r="M137" s="119" t="str">
        <f t="shared" si="4"/>
        <v>어려움</v>
      </c>
    </row>
    <row r="138" spans="1:13" ht="15.95" customHeight="1" x14ac:dyDescent="0.3">
      <c r="A138" s="117">
        <v>125</v>
      </c>
      <c r="B138" s="117" t="str">
        <f>Stage!C163</f>
        <v>N 125</v>
      </c>
      <c r="C138" s="117">
        <f>Stage!F163</f>
        <v>180</v>
      </c>
      <c r="D138" s="117">
        <f>IF(Stage!G163="",0,LEN(TRIM(Stage!G163))-LEN(SUBSTITUTE(TRIM(Stage!G163),",",""))+1)</f>
        <v>3</v>
      </c>
      <c r="E138" s="117">
        <f>IF(ISERROR(FIND(",",Stage!H163)),VALUE(Stage!H163),(VALUE(LEFT(Stage!H163,FIND(",",Stage!H163)-1))+VALUE(TRIM(MID(Stage!H163,FIND("|",SUBSTITUTE(Stage!H163,",","|",LEN(Stage!H163)-LEN(SUBSTITUTE(Stage!H163,",",""))))+1,100))))/2)</f>
        <v>3</v>
      </c>
      <c r="F138" s="117">
        <f>IF(ISERROR(FIND(",",Stage!I163)),VALUE(Stage!I163),(VALUE(LEFT(Stage!I163,FIND(",",Stage!I163)-1))+VALUE(TRIM(MID(Stage!I163,FIND("|",SUBSTITUTE(Stage!I163,",","|",LEN(Stage!I163)-LEN(SUBSTITUTE(Stage!I163,",",""))))+1,100))))/2)</f>
        <v>0.3</v>
      </c>
      <c r="G138" s="117">
        <f>IF(ISERROR(FIND(",",Stage!J163)),VALUE(Stage!J163),VALUE(LEFT(Stage!J163,FIND(",",Stage!J163)-1)))</f>
        <v>36</v>
      </c>
      <c r="H138" s="117">
        <f>IF(Stage!K163="",0,LEN(TRIM(Stage!K163))-LEN(SUBSTITUTE(TRIM(Stage!K163),",",""))+1)</f>
        <v>4</v>
      </c>
      <c r="I138" s="117">
        <f>Stage!O163+Stage!P163+Stage!N163+Stage!Q163+Stage!M163</f>
        <v>6</v>
      </c>
      <c r="J138" s="117">
        <f>IF(Stage!F163=0,0,I138/Stage!F163)</f>
        <v>3.3333333333333333E-2</v>
      </c>
      <c r="K138" s="118">
        <f t="shared" si="3"/>
        <v>45.65661420160999</v>
      </c>
      <c r="L138" s="118">
        <f t="shared" si="5"/>
        <v>44.171368821663187</v>
      </c>
      <c r="M138" s="117" t="str">
        <f t="shared" si="4"/>
        <v>어려움</v>
      </c>
    </row>
    <row r="139" spans="1:13" ht="15.95" customHeight="1" x14ac:dyDescent="0.3">
      <c r="A139" s="119">
        <v>126</v>
      </c>
      <c r="B139" s="119" t="str">
        <f>Stage!C164</f>
        <v>N 126</v>
      </c>
      <c r="C139" s="119">
        <f>Stage!F164</f>
        <v>175</v>
      </c>
      <c r="D139" s="119">
        <f>IF(Stage!G164="",0,LEN(TRIM(Stage!G164))-LEN(SUBSTITUTE(TRIM(Stage!G164),",",""))+1)</f>
        <v>3</v>
      </c>
      <c r="E139" s="119">
        <f>IF(ISERROR(FIND(",",Stage!H164)),VALUE(Stage!H164),(VALUE(LEFT(Stage!H164,FIND(",",Stage!H164)-1))+VALUE(TRIM(MID(Stage!H164,FIND("|",SUBSTITUTE(Stage!H164,",","|",LEN(Stage!H164)-LEN(SUBSTITUTE(Stage!H164,",",""))))+1,100))))/2)</f>
        <v>3</v>
      </c>
      <c r="F139" s="119">
        <f>IF(ISERROR(FIND(",",Stage!I164)),VALUE(Stage!I164),(VALUE(LEFT(Stage!I164,FIND(",",Stage!I164)-1))+VALUE(TRIM(MID(Stage!I164,FIND("|",SUBSTITUTE(Stage!I164,",","|",LEN(Stage!I164)-LEN(SUBSTITUTE(Stage!I164,",",""))))+1,100))))/2)</f>
        <v>0.3</v>
      </c>
      <c r="G139" s="119">
        <f>IF(ISERROR(FIND(",",Stage!J164)),VALUE(Stage!J164),VALUE(LEFT(Stage!J164,FIND(",",Stage!J164)-1)))</f>
        <v>35</v>
      </c>
      <c r="H139" s="119">
        <f>IF(Stage!K164="",0,LEN(TRIM(Stage!K164))-LEN(SUBSTITUTE(TRIM(Stage!K164),",",""))+1)</f>
        <v>4</v>
      </c>
      <c r="I139" s="119">
        <f>Stage!O164+Stage!P164+Stage!N164+Stage!Q164+Stage!M164</f>
        <v>5</v>
      </c>
      <c r="J139" s="119">
        <f>IF(Stage!F164=0,0,I139/Stage!F164)</f>
        <v>2.8571428571428571E-2</v>
      </c>
      <c r="K139" s="120">
        <f t="shared" si="3"/>
        <v>45.073491128999954</v>
      </c>
      <c r="L139" s="120">
        <f t="shared" si="5"/>
        <v>46.696732272342025</v>
      </c>
      <c r="M139" s="119" t="str">
        <f t="shared" si="4"/>
        <v>어려움</v>
      </c>
    </row>
    <row r="140" spans="1:13" ht="15.95" customHeight="1" x14ac:dyDescent="0.3">
      <c r="A140" s="117">
        <v>127</v>
      </c>
      <c r="B140" s="117" t="str">
        <f>Stage!C165</f>
        <v>N 127</v>
      </c>
      <c r="C140" s="117">
        <f>Stage!F165</f>
        <v>180</v>
      </c>
      <c r="D140" s="117">
        <f>IF(Stage!G165="",0,LEN(TRIM(Stage!G165))-LEN(SUBSTITUTE(TRIM(Stage!G165),",",""))+1)</f>
        <v>3</v>
      </c>
      <c r="E140" s="117">
        <f>IF(ISERROR(FIND(",",Stage!H165)),VALUE(Stage!H165),(VALUE(LEFT(Stage!H165,FIND(",",Stage!H165)-1))+VALUE(TRIM(MID(Stage!H165,FIND("|",SUBSTITUTE(Stage!H165,",","|",LEN(Stage!H165)-LEN(SUBSTITUTE(Stage!H165,",",""))))+1,100))))/2)</f>
        <v>3</v>
      </c>
      <c r="F140" s="117">
        <f>IF(ISERROR(FIND(",",Stage!I165)),VALUE(Stage!I165),(VALUE(LEFT(Stage!I165,FIND(",",Stage!I165)-1))+VALUE(TRIM(MID(Stage!I165,FIND("|",SUBSTITUTE(Stage!I165,",","|",LEN(Stage!I165)-LEN(SUBSTITUTE(Stage!I165,",",""))))+1,100))))/2)</f>
        <v>0.3</v>
      </c>
      <c r="G140" s="117">
        <f>IF(ISERROR(FIND(",",Stage!J165)),VALUE(Stage!J165),VALUE(LEFT(Stage!J165,FIND(",",Stage!J165)-1)))</f>
        <v>36</v>
      </c>
      <c r="H140" s="117">
        <f>IF(Stage!K165="",0,LEN(TRIM(Stage!K165))-LEN(SUBSTITUTE(TRIM(Stage!K165),",",""))+1)</f>
        <v>4</v>
      </c>
      <c r="I140" s="117">
        <f>Stage!O165+Stage!P165+Stage!N165+Stage!Q165+Stage!M165</f>
        <v>6</v>
      </c>
      <c r="J140" s="117">
        <f>IF(Stage!F165=0,0,I140/Stage!F165)</f>
        <v>3.3333333333333333E-2</v>
      </c>
      <c r="K140" s="118">
        <f t="shared" si="3"/>
        <v>45.65661420160999</v>
      </c>
      <c r="L140" s="118">
        <f t="shared" si="5"/>
        <v>46.186495254115101</v>
      </c>
      <c r="M140" s="117" t="str">
        <f t="shared" si="4"/>
        <v>어려움</v>
      </c>
    </row>
    <row r="141" spans="1:13" ht="15.95" customHeight="1" x14ac:dyDescent="0.3">
      <c r="A141" s="119">
        <v>128</v>
      </c>
      <c r="B141" s="119" t="str">
        <f>Stage!C166</f>
        <v>N 128</v>
      </c>
      <c r="C141" s="119">
        <f>Stage!F166</f>
        <v>200</v>
      </c>
      <c r="D141" s="119">
        <f>IF(Stage!G166="",0,LEN(TRIM(Stage!G166))-LEN(SUBSTITUTE(TRIM(Stage!G166),",",""))+1)</f>
        <v>3</v>
      </c>
      <c r="E141" s="119">
        <f>IF(ISERROR(FIND(",",Stage!H166)),VALUE(Stage!H166),(VALUE(LEFT(Stage!H166,FIND(",",Stage!H166)-1))+VALUE(TRIM(MID(Stage!H166,FIND("|",SUBSTITUTE(Stage!H166,",","|",LEN(Stage!H166)-LEN(SUBSTITUTE(Stage!H166,",",""))))+1,100))))/2)</f>
        <v>3</v>
      </c>
      <c r="F141" s="119">
        <f>IF(ISERROR(FIND(",",Stage!I166)),VALUE(Stage!I166),(VALUE(LEFT(Stage!I166,FIND(",",Stage!I166)-1))+VALUE(TRIM(MID(Stage!I166,FIND("|",SUBSTITUTE(Stage!I166,",","|",LEN(Stage!I166)-LEN(SUBSTITUTE(Stage!I166,",",""))))+1,100))))/2)</f>
        <v>0.2</v>
      </c>
      <c r="G141" s="119">
        <f>IF(ISERROR(FIND(",",Stage!J166)),VALUE(Stage!J166),VALUE(LEFT(Stage!J166,FIND(",",Stage!J166)-1)))</f>
        <v>40</v>
      </c>
      <c r="H141" s="119">
        <f>IF(Stage!K166="",0,LEN(TRIM(Stage!K166))-LEN(SUBSTITUTE(TRIM(Stage!K166),",",""))+1)</f>
        <v>4</v>
      </c>
      <c r="I141" s="119">
        <f>Stage!O166+Stage!P166+Stage!N166+Stage!Q166+Stage!M166</f>
        <v>11</v>
      </c>
      <c r="J141" s="119">
        <f>IF(Stage!F166=0,0,I141/Stage!F166)</f>
        <v>5.5E-2</v>
      </c>
      <c r="K141" s="120">
        <f t="shared" si="3"/>
        <v>49.472265609355603</v>
      </c>
      <c r="L141" s="120">
        <f t="shared" si="5"/>
        <v>46.949625535664225</v>
      </c>
      <c r="M141" s="119" t="str">
        <f t="shared" si="4"/>
        <v>어려움</v>
      </c>
    </row>
    <row r="142" spans="1:13" ht="15.95" customHeight="1" x14ac:dyDescent="0.3">
      <c r="A142" s="117">
        <v>129</v>
      </c>
      <c r="B142" s="117" t="str">
        <f>Stage!C167</f>
        <v>N 129</v>
      </c>
      <c r="C142" s="117">
        <f>Stage!F167</f>
        <v>175</v>
      </c>
      <c r="D142" s="117">
        <f>IF(Stage!G167="",0,LEN(TRIM(Stage!G167))-LEN(SUBSTITUTE(TRIM(Stage!G167),",",""))+1)</f>
        <v>3</v>
      </c>
      <c r="E142" s="117">
        <f>IF(ISERROR(FIND(",",Stage!H167)),VALUE(Stage!H167),(VALUE(LEFT(Stage!H167,FIND(",",Stage!H167)-1))+VALUE(TRIM(MID(Stage!H167,FIND("|",SUBSTITUTE(Stage!H167,",","|",LEN(Stage!H167)-LEN(SUBSTITUTE(Stage!H167,",",""))))+1,100))))/2)</f>
        <v>3</v>
      </c>
      <c r="F142" s="117">
        <f>IF(ISERROR(FIND(",",Stage!I167)),VALUE(Stage!I167),(VALUE(LEFT(Stage!I167,FIND(",",Stage!I167)-1))+VALUE(TRIM(MID(Stage!I167,FIND("|",SUBSTITUTE(Stage!I167,",","|",LEN(Stage!I167)-LEN(SUBSTITUTE(Stage!I167,",",""))))+1,100))))/2)</f>
        <v>0.3</v>
      </c>
      <c r="G142" s="117">
        <f>IF(ISERROR(FIND(",",Stage!J167)),VALUE(Stage!J167),VALUE(LEFT(Stage!J167,FIND(",",Stage!J167)-1)))</f>
        <v>35</v>
      </c>
      <c r="H142" s="117">
        <f>IF(Stage!K167="",0,LEN(TRIM(Stage!K167))-LEN(SUBSTITUTE(TRIM(Stage!K167),",",""))+1)</f>
        <v>4</v>
      </c>
      <c r="I142" s="117">
        <f>Stage!O167+Stage!P167+Stage!N167+Stage!Q167+Stage!M167</f>
        <v>5</v>
      </c>
      <c r="J142" s="117">
        <f>IF(Stage!F167=0,0,I142/Stage!F167)</f>
        <v>2.8571428571428571E-2</v>
      </c>
      <c r="K142" s="118">
        <f t="shared" ref="K142:K205" si="6">(MAX(0,MIN(1,(C142-$E$3)/MAX($F$3-$E$3,0.0001)))*$C$3+MAX(0,MIN(1,(D142-$E$4)/MAX($F$4-$E$4,0.0001)))*$C$4+MAX(0,MIN(1,(E142-$E$5)/MAX($F$5-$E$5,0.0001)))*$C$5+(1-MAX(0,MIN(1,(F142-$E$6)/MAX($F$6-$E$6,0.0001))))*$C$6+(1-MAX(0,MIN(1,(G142-$E$7)/MAX($F$7-$E$7,0.0001))))*$C$7+MAX(0,MIN(1,(H142-$E$8)/MAX($F$8-$E$8,0.0001)))*$C$8+MAX(0,MIN(1,(J142-$E$9)/MAX($F$9-$E$9,0.0001)))*$C$9)/$C$10*100</f>
        <v>45.073491128999954</v>
      </c>
      <c r="L142" s="118">
        <f t="shared" si="5"/>
        <v>45.776896512966402</v>
      </c>
      <c r="M142" s="117" t="str">
        <f t="shared" ref="M142:M205" si="7">IF(K142&lt;25,"쉬움",IF(K142&lt;45,"보통",IF(K142&lt;60,"어려움",IF(K142&lt;75,"매우어려움","극악"))))</f>
        <v>어려움</v>
      </c>
    </row>
    <row r="143" spans="1:13" ht="15.95" customHeight="1" x14ac:dyDescent="0.3">
      <c r="A143" s="119">
        <v>130</v>
      </c>
      <c r="B143" s="119" t="str">
        <f>Stage!C168</f>
        <v>N 130</v>
      </c>
      <c r="C143" s="119">
        <f>Stage!F168</f>
        <v>200</v>
      </c>
      <c r="D143" s="119">
        <f>IF(Stage!G168="",0,LEN(TRIM(Stage!G168))-LEN(SUBSTITUTE(TRIM(Stage!G168),",",""))+1)</f>
        <v>3</v>
      </c>
      <c r="E143" s="119">
        <f>IF(ISERROR(FIND(",",Stage!H168)),VALUE(Stage!H168),(VALUE(LEFT(Stage!H168,FIND(",",Stage!H168)-1))+VALUE(TRIM(MID(Stage!H168,FIND("|",SUBSTITUTE(Stage!H168,",","|",LEN(Stage!H168)-LEN(SUBSTITUTE(Stage!H168,",",""))))+1,100))))/2)</f>
        <v>3</v>
      </c>
      <c r="F143" s="119">
        <f>IF(ISERROR(FIND(",",Stage!I168)),VALUE(Stage!I168),(VALUE(LEFT(Stage!I168,FIND(",",Stage!I168)-1))+VALUE(TRIM(MID(Stage!I168,FIND("|",SUBSTITUTE(Stage!I168,",","|",LEN(Stage!I168)-LEN(SUBSTITUTE(Stage!I168,",",""))))+1,100))))/2)</f>
        <v>0.2</v>
      </c>
      <c r="G143" s="119">
        <f>IF(ISERROR(FIND(",",Stage!J168)),VALUE(Stage!J168),VALUE(LEFT(Stage!J168,FIND(",",Stage!J168)-1)))</f>
        <v>40</v>
      </c>
      <c r="H143" s="119">
        <f>IF(Stage!K168="",0,LEN(TRIM(Stage!K168))-LEN(SUBSTITUTE(TRIM(Stage!K168),",",""))+1)</f>
        <v>4</v>
      </c>
      <c r="I143" s="119">
        <f>Stage!O168+Stage!P168+Stage!N168+Stage!Q168+Stage!M168</f>
        <v>11</v>
      </c>
      <c r="J143" s="119">
        <f>IF(Stage!F168=0,0,I143/Stage!F168)</f>
        <v>5.5E-2</v>
      </c>
      <c r="K143" s="120">
        <f t="shared" si="6"/>
        <v>49.472265609355603</v>
      </c>
      <c r="L143" s="120">
        <f t="shared" si="5"/>
        <v>46.540026794515519</v>
      </c>
      <c r="M143" s="119" t="str">
        <f t="shared" si="7"/>
        <v>어려움</v>
      </c>
    </row>
    <row r="144" spans="1:13" ht="15.95" customHeight="1" x14ac:dyDescent="0.3">
      <c r="A144" s="117">
        <v>131</v>
      </c>
      <c r="B144" s="117" t="str">
        <f>Stage!C169</f>
        <v>N 131</v>
      </c>
      <c r="C144" s="117">
        <f>Stage!F169</f>
        <v>155</v>
      </c>
      <c r="D144" s="117">
        <f>IF(Stage!G169="",0,LEN(TRIM(Stage!G169))-LEN(SUBSTITUTE(TRIM(Stage!G169),",",""))+1)</f>
        <v>3</v>
      </c>
      <c r="E144" s="117">
        <f>IF(ISERROR(FIND(",",Stage!H169)),VALUE(Stage!H169),(VALUE(LEFT(Stage!H169,FIND(",",Stage!H169)-1))+VALUE(TRIM(MID(Stage!H169,FIND("|",SUBSTITUTE(Stage!H169,",","|",LEN(Stage!H169)-LEN(SUBSTITUTE(Stage!H169,",",""))))+1,100))))/2)</f>
        <v>2.5</v>
      </c>
      <c r="F144" s="117">
        <f>IF(ISERROR(FIND(",",Stage!I169)),VALUE(Stage!I169),(VALUE(LEFT(Stage!I169,FIND(",",Stage!I169)-1))+VALUE(TRIM(MID(Stage!I169,FIND("|",SUBSTITUTE(Stage!I169,",","|",LEN(Stage!I169)-LEN(SUBSTITUTE(Stage!I169,",",""))))+1,100))))/2)</f>
        <v>0.4</v>
      </c>
      <c r="G144" s="117">
        <f>IF(ISERROR(FIND(",",Stage!J169)),VALUE(Stage!J169),VALUE(LEFT(Stage!J169,FIND(",",Stage!J169)-1)))</f>
        <v>31</v>
      </c>
      <c r="H144" s="117">
        <f>IF(Stage!K169="",0,LEN(TRIM(Stage!K169))-LEN(SUBSTITUTE(TRIM(Stage!K169),",",""))+1)</f>
        <v>4</v>
      </c>
      <c r="I144" s="117">
        <f>Stage!O169+Stage!P169+Stage!N169+Stage!Q169+Stage!M169</f>
        <v>1</v>
      </c>
      <c r="J144" s="117">
        <f>IF(Stage!F169=0,0,I144/Stage!F169)</f>
        <v>6.4516129032258064E-3</v>
      </c>
      <c r="K144" s="118">
        <f t="shared" si="6"/>
        <v>39.209846015510841</v>
      </c>
      <c r="L144" s="118">
        <f t="shared" ref="L144:L207" si="8">AVERAGE(K142:K146)</f>
        <v>45.501562157188765</v>
      </c>
      <c r="M144" s="117" t="str">
        <f t="shared" si="7"/>
        <v>보통</v>
      </c>
    </row>
    <row r="145" spans="1:13" ht="15.95" customHeight="1" x14ac:dyDescent="0.3">
      <c r="A145" s="119">
        <v>132</v>
      </c>
      <c r="B145" s="119" t="str">
        <f>Stage!C170</f>
        <v>N 132</v>
      </c>
      <c r="C145" s="119">
        <f>Stage!F170</f>
        <v>200</v>
      </c>
      <c r="D145" s="119">
        <f>IF(Stage!G170="",0,LEN(TRIM(Stage!G170))-LEN(SUBSTITUTE(TRIM(Stage!G170),",",""))+1)</f>
        <v>3</v>
      </c>
      <c r="E145" s="119">
        <f>IF(ISERROR(FIND(",",Stage!H170)),VALUE(Stage!H170),(VALUE(LEFT(Stage!H170,FIND(",",Stage!H170)-1))+VALUE(TRIM(MID(Stage!H170,FIND("|",SUBSTITUTE(Stage!H170,",","|",LEN(Stage!H170)-LEN(SUBSTITUTE(Stage!H170,",",""))))+1,100))))/2)</f>
        <v>3</v>
      </c>
      <c r="F145" s="119">
        <f>IF(ISERROR(FIND(",",Stage!I170)),VALUE(Stage!I170),(VALUE(LEFT(Stage!I170,FIND(",",Stage!I170)-1))+VALUE(TRIM(MID(Stage!I170,FIND("|",SUBSTITUTE(Stage!I170,",","|",LEN(Stage!I170)-LEN(SUBSTITUTE(Stage!I170,",",""))))+1,100))))/2)</f>
        <v>0.2</v>
      </c>
      <c r="G145" s="119">
        <f>IF(ISERROR(FIND(",",Stage!J170)),VALUE(Stage!J170),VALUE(LEFT(Stage!J170,FIND(",",Stage!J170)-1)))</f>
        <v>40</v>
      </c>
      <c r="H145" s="119">
        <f>IF(Stage!K170="",0,LEN(TRIM(Stage!K170))-LEN(SUBSTITUTE(TRIM(Stage!K170),",",""))+1)</f>
        <v>4</v>
      </c>
      <c r="I145" s="119">
        <f>Stage!O170+Stage!P170+Stage!N170+Stage!Q170+Stage!M170</f>
        <v>11</v>
      </c>
      <c r="J145" s="119">
        <f>IF(Stage!F170=0,0,I145/Stage!F170)</f>
        <v>5.5E-2</v>
      </c>
      <c r="K145" s="120">
        <f t="shared" si="6"/>
        <v>49.472265609355603</v>
      </c>
      <c r="L145" s="120">
        <f t="shared" si="8"/>
        <v>44.246197505020078</v>
      </c>
      <c r="M145" s="119" t="str">
        <f t="shared" si="7"/>
        <v>어려움</v>
      </c>
    </row>
    <row r="146" spans="1:13" ht="15.95" customHeight="1" x14ac:dyDescent="0.3">
      <c r="A146" s="117">
        <v>133</v>
      </c>
      <c r="B146" s="117" t="str">
        <f>Stage!C171</f>
        <v>N 133</v>
      </c>
      <c r="C146" s="117">
        <f>Stage!F171</f>
        <v>170</v>
      </c>
      <c r="D146" s="117">
        <f>IF(Stage!G171="",0,LEN(TRIM(Stage!G171))-LEN(SUBSTITUTE(TRIM(Stage!G171),",",""))+1)</f>
        <v>3</v>
      </c>
      <c r="E146" s="117">
        <f>IF(ISERROR(FIND(",",Stage!H171)),VALUE(Stage!H171),(VALUE(LEFT(Stage!H171,FIND(",",Stage!H171)-1))+VALUE(TRIM(MID(Stage!H171,FIND("|",SUBSTITUTE(Stage!H171,",","|",LEN(Stage!H171)-LEN(SUBSTITUTE(Stage!H171,",",""))))+1,100))))/2)</f>
        <v>3</v>
      </c>
      <c r="F146" s="117">
        <f>IF(ISERROR(FIND(",",Stage!I171)),VALUE(Stage!I171),(VALUE(LEFT(Stage!I171,FIND(",",Stage!I171)-1))+VALUE(TRIM(MID(Stage!I171,FIND("|",SUBSTITUTE(Stage!I171,",","|",LEN(Stage!I171)-LEN(SUBSTITUTE(Stage!I171,",",""))))+1,100))))/2)</f>
        <v>0.3</v>
      </c>
      <c r="G146" s="117">
        <f>IF(ISERROR(FIND(",",Stage!J171)),VALUE(Stage!J171),VALUE(LEFT(Stage!J171,FIND(",",Stage!J171)-1)))</f>
        <v>34</v>
      </c>
      <c r="H146" s="117">
        <f>IF(Stage!K171="",0,LEN(TRIM(Stage!K171))-LEN(SUBSTITUTE(TRIM(Stage!K171),",",""))+1)</f>
        <v>4</v>
      </c>
      <c r="I146" s="117">
        <f>Stage!O171+Stage!P171+Stage!N171+Stage!Q171+Stage!M171</f>
        <v>3</v>
      </c>
      <c r="J146" s="117">
        <f>IF(Stage!F171=0,0,I146/Stage!F171)</f>
        <v>1.7647058823529412E-2</v>
      </c>
      <c r="K146" s="118">
        <f t="shared" si="6"/>
        <v>44.279942422721817</v>
      </c>
      <c r="L146" s="118">
        <f t="shared" si="8"/>
        <v>41.422992731100408</v>
      </c>
      <c r="M146" s="117" t="str">
        <f t="shared" si="7"/>
        <v>보통</v>
      </c>
    </row>
    <row r="147" spans="1:13" ht="15.95" customHeight="1" x14ac:dyDescent="0.3">
      <c r="A147" s="119">
        <v>134</v>
      </c>
      <c r="B147" s="119" t="str">
        <f>Stage!C172</f>
        <v>N 134</v>
      </c>
      <c r="C147" s="119">
        <f>Stage!F172</f>
        <v>150</v>
      </c>
      <c r="D147" s="119">
        <f>IF(Stage!G172="",0,LEN(TRIM(Stage!G172))-LEN(SUBSTITUTE(TRIM(Stage!G172),",",""))+1)</f>
        <v>3</v>
      </c>
      <c r="E147" s="119">
        <f>IF(ISERROR(FIND(",",Stage!H172)),VALUE(Stage!H172),(VALUE(LEFT(Stage!H172,FIND(",",Stage!H172)-1))+VALUE(TRIM(MID(Stage!H172,FIND("|",SUBSTITUTE(Stage!H172,",","|",LEN(Stage!H172)-LEN(SUBSTITUTE(Stage!H172,",",""))))+1,100))))/2)</f>
        <v>2.5</v>
      </c>
      <c r="F147" s="119">
        <f>IF(ISERROR(FIND(",",Stage!I172)),VALUE(Stage!I172),(VALUE(LEFT(Stage!I172,FIND(",",Stage!I172)-1))+VALUE(TRIM(MID(Stage!I172,FIND("|",SUBSTITUTE(Stage!I172,",","|",LEN(Stage!I172)-LEN(SUBSTITUTE(Stage!I172,",",""))))+1,100))))/2)</f>
        <v>0.4</v>
      </c>
      <c r="G147" s="119">
        <f>IF(ISERROR(FIND(",",Stage!J172)),VALUE(Stage!J172),VALUE(LEFT(Stage!J172,FIND(",",Stage!J172)-1)))</f>
        <v>30</v>
      </c>
      <c r="H147" s="119">
        <f>IF(Stage!K172="",0,LEN(TRIM(Stage!K172))-LEN(SUBSTITUTE(TRIM(Stage!K172),",",""))+1)</f>
        <v>4</v>
      </c>
      <c r="I147" s="119">
        <f>Stage!O172+Stage!P172+Stage!N172+Stage!Q172+Stage!M172</f>
        <v>1</v>
      </c>
      <c r="J147" s="119">
        <f>IF(Stage!F172=0,0,I147/Stage!F172)</f>
        <v>6.6666666666666671E-3</v>
      </c>
      <c r="K147" s="120">
        <f t="shared" si="6"/>
        <v>38.796667868156511</v>
      </c>
      <c r="L147" s="120">
        <f t="shared" si="8"/>
        <v>40.652271875949701</v>
      </c>
      <c r="M147" s="119" t="str">
        <f t="shared" si="7"/>
        <v>보통</v>
      </c>
    </row>
    <row r="148" spans="1:13" ht="15.95" customHeight="1" x14ac:dyDescent="0.3">
      <c r="A148" s="117">
        <v>135</v>
      </c>
      <c r="B148" s="117" t="str">
        <f>Stage!C173</f>
        <v>N 135</v>
      </c>
      <c r="C148" s="117">
        <f>Stage!F173</f>
        <v>135</v>
      </c>
      <c r="D148" s="117">
        <f>IF(Stage!G173="",0,LEN(TRIM(Stage!G173))-LEN(SUBSTITUTE(TRIM(Stage!G173),",",""))+1)</f>
        <v>3</v>
      </c>
      <c r="E148" s="117">
        <f>IF(ISERROR(FIND(",",Stage!H173)),VALUE(Stage!H173),(VALUE(LEFT(Stage!H173,FIND(",",Stage!H173)-1))+VALUE(TRIM(MID(Stage!H173,FIND("|",SUBSTITUTE(Stage!H173,",","|",LEN(Stage!H173)-LEN(SUBSTITUTE(Stage!H173,",",""))))+1,100))))/2)</f>
        <v>2.5</v>
      </c>
      <c r="F148" s="117">
        <f>IF(ISERROR(FIND(",",Stage!I173)),VALUE(Stage!I173),(VALUE(LEFT(Stage!I173,FIND(",",Stage!I173)-1))+VALUE(TRIM(MID(Stage!I173,FIND("|",SUBSTITUTE(Stage!I173,",","|",LEN(Stage!I173)-LEN(SUBSTITUTE(Stage!I173,",",""))))+1,100))))/2)</f>
        <v>0.4</v>
      </c>
      <c r="G148" s="117">
        <f>IF(ISERROR(FIND(",",Stage!J173)),VALUE(Stage!J173),VALUE(LEFT(Stage!J173,FIND(",",Stage!J173)-1)))</f>
        <v>33</v>
      </c>
      <c r="H148" s="117">
        <f>IF(Stage!K173="",0,LEN(TRIM(Stage!K173))-LEN(SUBSTITUTE(TRIM(Stage!K173),",",""))+1)</f>
        <v>3</v>
      </c>
      <c r="I148" s="117">
        <f>Stage!O173+Stage!P173+Stage!N173+Stage!Q173+Stage!M173</f>
        <v>0</v>
      </c>
      <c r="J148" s="117">
        <f>IF(Stage!F173=0,0,I148/Stage!F173)</f>
        <v>0</v>
      </c>
      <c r="K148" s="118">
        <f t="shared" si="6"/>
        <v>35.356241739757294</v>
      </c>
      <c r="L148" s="118">
        <f t="shared" si="8"/>
        <v>39.889141594400584</v>
      </c>
      <c r="M148" s="117" t="str">
        <f t="shared" si="7"/>
        <v>보통</v>
      </c>
    </row>
    <row r="149" spans="1:13" ht="15.95" customHeight="1" x14ac:dyDescent="0.3">
      <c r="A149" s="119">
        <v>136</v>
      </c>
      <c r="B149" s="119" t="str">
        <f>Stage!C174</f>
        <v>N 136</v>
      </c>
      <c r="C149" s="119">
        <f>Stage!F174</f>
        <v>135</v>
      </c>
      <c r="D149" s="119">
        <f>IF(Stage!G174="",0,LEN(TRIM(Stage!G174))-LEN(SUBSTITUTE(TRIM(Stage!G174),",",""))+1)</f>
        <v>3</v>
      </c>
      <c r="E149" s="119">
        <f>IF(ISERROR(FIND(",",Stage!H174)),VALUE(Stage!H174),(VALUE(LEFT(Stage!H174,FIND(",",Stage!H174)-1))+VALUE(TRIM(MID(Stage!H174,FIND("|",SUBSTITUTE(Stage!H174,",","|",LEN(Stage!H174)-LEN(SUBSTITUTE(Stage!H174,",",""))))+1,100))))/2)</f>
        <v>2.5</v>
      </c>
      <c r="F149" s="119">
        <f>IF(ISERROR(FIND(",",Stage!I174)),VALUE(Stage!I174),(VALUE(LEFT(Stage!I174,FIND(",",Stage!I174)-1))+VALUE(TRIM(MID(Stage!I174,FIND("|",SUBSTITUTE(Stage!I174,",","|",LEN(Stage!I174)-LEN(SUBSTITUTE(Stage!I174,",",""))))+1,100))))/2)</f>
        <v>0.4</v>
      </c>
      <c r="G149" s="119">
        <f>IF(ISERROR(FIND(",",Stage!J174)),VALUE(Stage!J174),VALUE(LEFT(Stage!J174,FIND(",",Stage!J174)-1)))</f>
        <v>33</v>
      </c>
      <c r="H149" s="119">
        <f>IF(Stage!K174="",0,LEN(TRIM(Stage!K174))-LEN(SUBSTITUTE(TRIM(Stage!K174),",",""))+1)</f>
        <v>3</v>
      </c>
      <c r="I149" s="119">
        <f>Stage!O174+Stage!P174+Stage!N174+Stage!Q174+Stage!M174</f>
        <v>0</v>
      </c>
      <c r="J149" s="119">
        <f>IF(Stage!F174=0,0,I149/Stage!F174)</f>
        <v>0</v>
      </c>
      <c r="K149" s="120">
        <f t="shared" si="6"/>
        <v>35.356241739757294</v>
      </c>
      <c r="L149" s="120">
        <f t="shared" si="8"/>
        <v>38.272610036445187</v>
      </c>
      <c r="M149" s="119" t="str">
        <f t="shared" si="7"/>
        <v>보통</v>
      </c>
    </row>
    <row r="150" spans="1:13" ht="15.95" customHeight="1" x14ac:dyDescent="0.3">
      <c r="A150" s="117">
        <v>137</v>
      </c>
      <c r="B150" s="117" t="str">
        <f>Stage!C175</f>
        <v>N 137</v>
      </c>
      <c r="C150" s="117">
        <f>Stage!F175</f>
        <v>180</v>
      </c>
      <c r="D150" s="117">
        <f>IF(Stage!G175="",0,LEN(TRIM(Stage!G175))-LEN(SUBSTITUTE(TRIM(Stage!G175),",",""))+1)</f>
        <v>3</v>
      </c>
      <c r="E150" s="117">
        <f>IF(ISERROR(FIND(",",Stage!H175)),VALUE(Stage!H175),(VALUE(LEFT(Stage!H175,FIND(",",Stage!H175)-1))+VALUE(TRIM(MID(Stage!H175,FIND("|",SUBSTITUTE(Stage!H175,",","|",LEN(Stage!H175)-LEN(SUBSTITUTE(Stage!H175,",",""))))+1,100))))/2)</f>
        <v>3</v>
      </c>
      <c r="F150" s="117">
        <f>IF(ISERROR(FIND(",",Stage!I175)),VALUE(Stage!I175),(VALUE(LEFT(Stage!I175,FIND(",",Stage!I175)-1))+VALUE(TRIM(MID(Stage!I175,FIND("|",SUBSTITUTE(Stage!I175,",","|",LEN(Stage!I175)-LEN(SUBSTITUTE(Stage!I175,",",""))))+1,100))))/2)</f>
        <v>0.3</v>
      </c>
      <c r="G150" s="117">
        <f>IF(ISERROR(FIND(",",Stage!J175)),VALUE(Stage!J175),VALUE(LEFT(Stage!J175,FIND(",",Stage!J175)-1)))</f>
        <v>36</v>
      </c>
      <c r="H150" s="117">
        <f>IF(Stage!K175="",0,LEN(TRIM(Stage!K175))-LEN(SUBSTITUTE(TRIM(Stage!K175),",",""))+1)</f>
        <v>4</v>
      </c>
      <c r="I150" s="117">
        <f>Stage!O175+Stage!P175+Stage!N175+Stage!Q175+Stage!M175</f>
        <v>6</v>
      </c>
      <c r="J150" s="117">
        <f>IF(Stage!F175=0,0,I150/Stage!F175)</f>
        <v>3.3333333333333333E-2</v>
      </c>
      <c r="K150" s="118">
        <f t="shared" si="6"/>
        <v>45.65661420160999</v>
      </c>
      <c r="L150" s="118">
        <f t="shared" si="8"/>
        <v>38.272610036445187</v>
      </c>
      <c r="M150" s="117" t="str">
        <f t="shared" si="7"/>
        <v>어려움</v>
      </c>
    </row>
    <row r="151" spans="1:13" ht="15.95" customHeight="1" x14ac:dyDescent="0.3">
      <c r="A151" s="119">
        <v>138</v>
      </c>
      <c r="B151" s="119" t="str">
        <f>Stage!C176</f>
        <v>N 138</v>
      </c>
      <c r="C151" s="119">
        <f>Stage!F176</f>
        <v>145</v>
      </c>
      <c r="D151" s="119">
        <f>IF(Stage!G176="",0,LEN(TRIM(Stage!G176))-LEN(SUBSTITUTE(TRIM(Stage!G176),",",""))+1)</f>
        <v>3</v>
      </c>
      <c r="E151" s="119">
        <f>IF(ISERROR(FIND(",",Stage!H176)),VALUE(Stage!H176),(VALUE(LEFT(Stage!H176,FIND(",",Stage!H176)-1))+VALUE(TRIM(MID(Stage!H176,FIND("|",SUBSTITUTE(Stage!H176,",","|",LEN(Stage!H176)-LEN(SUBSTITUTE(Stage!H176,",",""))))+1,100))))/2)</f>
        <v>2.5</v>
      </c>
      <c r="F151" s="119">
        <f>IF(ISERROR(FIND(",",Stage!I176)),VALUE(Stage!I176),(VALUE(LEFT(Stage!I176,FIND(",",Stage!I176)-1))+VALUE(TRIM(MID(Stage!I176,FIND("|",SUBSTITUTE(Stage!I176,",","|",LEN(Stage!I176)-LEN(SUBSTITUTE(Stage!I176,",",""))))+1,100))))/2)</f>
        <v>0.4</v>
      </c>
      <c r="G151" s="119">
        <f>IF(ISERROR(FIND(",",Stage!J176)),VALUE(Stage!J176),VALUE(LEFT(Stage!J176,FIND(",",Stage!J176)-1)))</f>
        <v>36</v>
      </c>
      <c r="H151" s="119">
        <f>IF(Stage!K176="",0,LEN(TRIM(Stage!K176))-LEN(SUBSTITUTE(TRIM(Stage!K176),",",""))+1)</f>
        <v>3</v>
      </c>
      <c r="I151" s="119">
        <f>Stage!O176+Stage!P176+Stage!N176+Stage!Q176+Stage!M176</f>
        <v>0</v>
      </c>
      <c r="J151" s="119">
        <f>IF(Stage!F176=0,0,I151/Stage!F176)</f>
        <v>0</v>
      </c>
      <c r="K151" s="120">
        <f t="shared" si="6"/>
        <v>36.19728463294485</v>
      </c>
      <c r="L151" s="120">
        <f t="shared" si="8"/>
        <v>39.08739068703256</v>
      </c>
      <c r="M151" s="119" t="str">
        <f t="shared" si="7"/>
        <v>보통</v>
      </c>
    </row>
    <row r="152" spans="1:13" ht="15.95" customHeight="1" x14ac:dyDescent="0.3">
      <c r="A152" s="117">
        <v>139</v>
      </c>
      <c r="B152" s="117" t="str">
        <f>Stage!C177</f>
        <v>N 139</v>
      </c>
      <c r="C152" s="117">
        <f>Stage!F177</f>
        <v>150</v>
      </c>
      <c r="D152" s="117">
        <f>IF(Stage!G177="",0,LEN(TRIM(Stage!G177))-LEN(SUBSTITUTE(TRIM(Stage!G177),",",""))+1)</f>
        <v>3</v>
      </c>
      <c r="E152" s="117">
        <f>IF(ISERROR(FIND(",",Stage!H177)),VALUE(Stage!H177),(VALUE(LEFT(Stage!H177,FIND(",",Stage!H177)-1))+VALUE(TRIM(MID(Stage!H177,FIND("|",SUBSTITUTE(Stage!H177,",","|",LEN(Stage!H177)-LEN(SUBSTITUTE(Stage!H177,",",""))))+1,100))))/2)</f>
        <v>2.5</v>
      </c>
      <c r="F152" s="117">
        <f>IF(ISERROR(FIND(",",Stage!I177)),VALUE(Stage!I177),(VALUE(LEFT(Stage!I177,FIND(",",Stage!I177)-1))+VALUE(TRIM(MID(Stage!I177,FIND("|",SUBSTITUTE(Stage!I177,",","|",LEN(Stage!I177)-LEN(SUBSTITUTE(Stage!I177,",",""))))+1,100))))/2)</f>
        <v>0.4</v>
      </c>
      <c r="G152" s="117">
        <f>IF(ISERROR(FIND(",",Stage!J177)),VALUE(Stage!J177),VALUE(LEFT(Stage!J177,FIND(",",Stage!J177)-1)))</f>
        <v>30</v>
      </c>
      <c r="H152" s="117">
        <f>IF(Stage!K177="",0,LEN(TRIM(Stage!K177))-LEN(SUBSTITUTE(TRIM(Stage!K177),",",""))+1)</f>
        <v>4</v>
      </c>
      <c r="I152" s="117">
        <f>Stage!O177+Stage!P177+Stage!N177+Stage!Q177+Stage!M177</f>
        <v>1</v>
      </c>
      <c r="J152" s="117">
        <f>IF(Stage!F177=0,0,I152/Stage!F177)</f>
        <v>6.6666666666666671E-3</v>
      </c>
      <c r="K152" s="118">
        <f t="shared" si="6"/>
        <v>38.796667868156511</v>
      </c>
      <c r="L152" s="118">
        <f t="shared" si="8"/>
        <v>37.427732711142461</v>
      </c>
      <c r="M152" s="117" t="str">
        <f t="shared" si="7"/>
        <v>보통</v>
      </c>
    </row>
    <row r="153" spans="1:13" ht="15.95" customHeight="1" x14ac:dyDescent="0.3">
      <c r="A153" s="119">
        <v>140</v>
      </c>
      <c r="B153" s="119" t="str">
        <f>Stage!C178</f>
        <v>N 140</v>
      </c>
      <c r="C153" s="119">
        <f>Stage!F178</f>
        <v>155</v>
      </c>
      <c r="D153" s="119">
        <f>IF(Stage!G178="",0,LEN(TRIM(Stage!G178))-LEN(SUBSTITUTE(TRIM(Stage!G178),",",""))+1)</f>
        <v>3</v>
      </c>
      <c r="E153" s="119">
        <f>IF(ISERROR(FIND(",",Stage!H178)),VALUE(Stage!H178),(VALUE(LEFT(Stage!H178,FIND(",",Stage!H178)-1))+VALUE(TRIM(MID(Stage!H178,FIND("|",SUBSTITUTE(Stage!H178,",","|",LEN(Stage!H178)-LEN(SUBSTITUTE(Stage!H178,",",""))))+1,100))))/2)</f>
        <v>2.5</v>
      </c>
      <c r="F153" s="119">
        <f>IF(ISERROR(FIND(",",Stage!I178)),VALUE(Stage!I178),(VALUE(LEFT(Stage!I178,FIND(",",Stage!I178)-1))+VALUE(TRIM(MID(Stage!I178,FIND("|",SUBSTITUTE(Stage!I178,",","|",LEN(Stage!I178)-LEN(SUBSTITUTE(Stage!I178,",",""))))+1,100))))/2)</f>
        <v>0.4</v>
      </c>
      <c r="G153" s="119">
        <f>IF(ISERROR(FIND(",",Stage!J178)),VALUE(Stage!J178),VALUE(LEFT(Stage!J178,FIND(",",Stage!J178)-1)))</f>
        <v>31</v>
      </c>
      <c r="H153" s="119">
        <f>IF(Stage!K178="",0,LEN(TRIM(Stage!K178))-LEN(SUBSTITUTE(TRIM(Stage!K178),",",""))+1)</f>
        <v>4</v>
      </c>
      <c r="I153" s="119">
        <f>Stage!O178+Stage!P178+Stage!N178+Stage!Q178+Stage!M178</f>
        <v>2</v>
      </c>
      <c r="J153" s="119">
        <f>IF(Stage!F178=0,0,I153/Stage!F178)</f>
        <v>1.2903225806451613E-2</v>
      </c>
      <c r="K153" s="120">
        <f t="shared" si="6"/>
        <v>39.43014499269416</v>
      </c>
      <c r="L153" s="120">
        <f t="shared" si="8"/>
        <v>35.283553929453163</v>
      </c>
      <c r="M153" s="119" t="str">
        <f t="shared" si="7"/>
        <v>보통</v>
      </c>
    </row>
    <row r="154" spans="1:13" ht="15.95" customHeight="1" x14ac:dyDescent="0.3">
      <c r="A154" s="117">
        <v>141</v>
      </c>
      <c r="B154" s="117" t="str">
        <f>Stage!C179</f>
        <v>N 141</v>
      </c>
      <c r="C154" s="117">
        <f>Stage!F179</f>
        <v>75</v>
      </c>
      <c r="D154" s="117">
        <f>IF(Stage!G179="",0,LEN(TRIM(Stage!G179))-LEN(SUBSTITUTE(TRIM(Stage!G179),",",""))+1)</f>
        <v>2</v>
      </c>
      <c r="E154" s="117">
        <f>IF(ISERROR(FIND(",",Stage!H179)),VALUE(Stage!H179),(VALUE(LEFT(Stage!H179,FIND(",",Stage!H179)-1))+VALUE(TRIM(MID(Stage!H179,FIND("|",SUBSTITUTE(Stage!H179,",","|",LEN(Stage!H179)-LEN(SUBSTITUTE(Stage!H179,",",""))))+1,100))))/2)</f>
        <v>2</v>
      </c>
      <c r="F154" s="117">
        <f>IF(ISERROR(FIND(",",Stage!I179)),VALUE(Stage!I179),(VALUE(LEFT(Stage!I179,FIND(",",Stage!I179)-1))+VALUE(TRIM(MID(Stage!I179,FIND("|",SUBSTITUTE(Stage!I179,",","|",LEN(Stage!I179)-LEN(SUBSTITUTE(Stage!I179,",",""))))+1,100))))/2)</f>
        <v>0.6</v>
      </c>
      <c r="G154" s="117">
        <f>IF(ISERROR(FIND(",",Stage!J179)),VALUE(Stage!J179),VALUE(LEFT(Stage!J179,FIND(",",Stage!J179)-1)))</f>
        <v>18</v>
      </c>
      <c r="H154" s="117">
        <f>IF(Stage!K179="",0,LEN(TRIM(Stage!K179))-LEN(SUBSTITUTE(TRIM(Stage!K179),",",""))+1)</f>
        <v>3</v>
      </c>
      <c r="I154" s="117">
        <f>Stage!O179+Stage!P179+Stage!N179+Stage!Q179+Stage!M179</f>
        <v>0</v>
      </c>
      <c r="J154" s="117">
        <f>IF(Stage!F179=0,0,I154/Stage!F179)</f>
        <v>0</v>
      </c>
      <c r="K154" s="118">
        <f t="shared" si="6"/>
        <v>27.057951860306783</v>
      </c>
      <c r="L154" s="118">
        <f t="shared" si="8"/>
        <v>35.199449640134411</v>
      </c>
      <c r="M154" s="117" t="str">
        <f t="shared" si="7"/>
        <v>보통</v>
      </c>
    </row>
    <row r="155" spans="1:13" ht="15.95" customHeight="1" x14ac:dyDescent="0.3">
      <c r="A155" s="119">
        <v>142</v>
      </c>
      <c r="B155" s="119" t="str">
        <f>Stage!C180</f>
        <v>N 142</v>
      </c>
      <c r="C155" s="119">
        <f>Stage!F180</f>
        <v>130</v>
      </c>
      <c r="D155" s="119">
        <f>IF(Stage!G180="",0,LEN(TRIM(Stage!G180))-LEN(SUBSTITUTE(TRIM(Stage!G180),",",""))+1)</f>
        <v>3</v>
      </c>
      <c r="E155" s="119">
        <f>IF(ISERROR(FIND(",",Stage!H180)),VALUE(Stage!H180),(VALUE(LEFT(Stage!H180,FIND(",",Stage!H180)-1))+VALUE(TRIM(MID(Stage!H180,FIND("|",SUBSTITUTE(Stage!H180,",","|",LEN(Stage!H180)-LEN(SUBSTITUTE(Stage!H180,",",""))))+1,100))))/2)</f>
        <v>2.5</v>
      </c>
      <c r="F155" s="119">
        <f>IF(ISERROR(FIND(",",Stage!I180)),VALUE(Stage!I180),(VALUE(LEFT(Stage!I180,FIND(",",Stage!I180)-1))+VALUE(TRIM(MID(Stage!I180,FIND("|",SUBSTITUTE(Stage!I180,",","|",LEN(Stage!I180)-LEN(SUBSTITUTE(Stage!I180,",",""))))+1,100))))/2)</f>
        <v>0.4</v>
      </c>
      <c r="G155" s="119">
        <f>IF(ISERROR(FIND(",",Stage!J180)),VALUE(Stage!J180),VALUE(LEFT(Stage!J180,FIND(",",Stage!J180)-1)))</f>
        <v>32</v>
      </c>
      <c r="H155" s="119">
        <f>IF(Stage!K180="",0,LEN(TRIM(Stage!K180))-LEN(SUBSTITUTE(TRIM(Stage!K180),",",""))+1)</f>
        <v>3</v>
      </c>
      <c r="I155" s="119">
        <f>Stage!O180+Stage!P180+Stage!N180+Stage!Q180+Stage!M180</f>
        <v>0</v>
      </c>
      <c r="J155" s="119">
        <f>IF(Stage!F180=0,0,I155/Stage!F180)</f>
        <v>0</v>
      </c>
      <c r="K155" s="120">
        <f t="shared" si="6"/>
        <v>34.93572029316352</v>
      </c>
      <c r="L155" s="120">
        <f t="shared" si="8"/>
        <v>36.336276717475016</v>
      </c>
      <c r="M155" s="119" t="str">
        <f t="shared" si="7"/>
        <v>보통</v>
      </c>
    </row>
    <row r="156" spans="1:13" ht="15.95" customHeight="1" x14ac:dyDescent="0.3">
      <c r="A156" s="117">
        <v>143</v>
      </c>
      <c r="B156" s="117" t="str">
        <f>Stage!C181</f>
        <v>N 143</v>
      </c>
      <c r="C156" s="117">
        <f>Stage!F181</f>
        <v>140</v>
      </c>
      <c r="D156" s="117">
        <f>IF(Stage!G181="",0,LEN(TRIM(Stage!G181))-LEN(SUBSTITUTE(TRIM(Stage!G181),",",""))+1)</f>
        <v>3</v>
      </c>
      <c r="E156" s="117">
        <f>IF(ISERROR(FIND(",",Stage!H181)),VALUE(Stage!H181),(VALUE(LEFT(Stage!H181,FIND(",",Stage!H181)-1))+VALUE(TRIM(MID(Stage!H181,FIND("|",SUBSTITUTE(Stage!H181,",","|",LEN(Stage!H181)-LEN(SUBSTITUTE(Stage!H181,",",""))))+1,100))))/2)</f>
        <v>2.5</v>
      </c>
      <c r="F156" s="117">
        <f>IF(ISERROR(FIND(",",Stage!I181)),VALUE(Stage!I181),(VALUE(LEFT(Stage!I181,FIND(",",Stage!I181)-1))+VALUE(TRIM(MID(Stage!I181,FIND("|",SUBSTITUTE(Stage!I181,",","|",LEN(Stage!I181)-LEN(SUBSTITUTE(Stage!I181,",",""))))+1,100))))/2)</f>
        <v>0.4</v>
      </c>
      <c r="G156" s="117">
        <f>IF(ISERROR(FIND(",",Stage!J181)),VALUE(Stage!J181),VALUE(LEFT(Stage!J181,FIND(",",Stage!J181)-1)))</f>
        <v>35</v>
      </c>
      <c r="H156" s="117">
        <f>IF(Stage!K181="",0,LEN(TRIM(Stage!K181))-LEN(SUBSTITUTE(TRIM(Stage!K181),",",""))+1)</f>
        <v>3</v>
      </c>
      <c r="I156" s="117">
        <f>Stage!O181+Stage!P181+Stage!N181+Stage!Q181+Stage!M181</f>
        <v>0</v>
      </c>
      <c r="J156" s="117">
        <f>IF(Stage!F181=0,0,I156/Stage!F181)</f>
        <v>0</v>
      </c>
      <c r="K156" s="118">
        <f t="shared" si="6"/>
        <v>35.776763186351076</v>
      </c>
      <c r="L156" s="118">
        <f t="shared" si="8"/>
        <v>37.975182962963103</v>
      </c>
      <c r="M156" s="117" t="str">
        <f t="shared" si="7"/>
        <v>보통</v>
      </c>
    </row>
    <row r="157" spans="1:13" ht="15.95" customHeight="1" x14ac:dyDescent="0.3">
      <c r="A157" s="119">
        <v>144</v>
      </c>
      <c r="B157" s="119" t="str">
        <f>Stage!C182</f>
        <v>N 144</v>
      </c>
      <c r="C157" s="119">
        <f>Stage!F182</f>
        <v>170</v>
      </c>
      <c r="D157" s="119">
        <f>IF(Stage!G182="",0,LEN(TRIM(Stage!G182))-LEN(SUBSTITUTE(TRIM(Stage!G182),",",""))+1)</f>
        <v>3</v>
      </c>
      <c r="E157" s="119">
        <f>IF(ISERROR(FIND(",",Stage!H182)),VALUE(Stage!H182),(VALUE(LEFT(Stage!H182,FIND(",",Stage!H182)-1))+VALUE(TRIM(MID(Stage!H182,FIND("|",SUBSTITUTE(Stage!H182,",","|",LEN(Stage!H182)-LEN(SUBSTITUTE(Stage!H182,",",""))))+1,100))))/2)</f>
        <v>3</v>
      </c>
      <c r="F157" s="119">
        <f>IF(ISERROR(FIND(",",Stage!I182)),VALUE(Stage!I182),(VALUE(LEFT(Stage!I182,FIND(",",Stage!I182)-1))+VALUE(TRIM(MID(Stage!I182,FIND("|",SUBSTITUTE(Stage!I182,",","|",LEN(Stage!I182)-LEN(SUBSTITUTE(Stage!I182,",",""))))+1,100))))/2)</f>
        <v>0.3</v>
      </c>
      <c r="G157" s="119">
        <f>IF(ISERROR(FIND(",",Stage!J182)),VALUE(Stage!J182),VALUE(LEFT(Stage!J182,FIND(",",Stage!J182)-1)))</f>
        <v>34</v>
      </c>
      <c r="H157" s="119">
        <f>IF(Stage!K182="",0,LEN(TRIM(Stage!K182))-LEN(SUBSTITUTE(TRIM(Stage!K182),",",""))+1)</f>
        <v>4</v>
      </c>
      <c r="I157" s="119">
        <f>Stage!O182+Stage!P182+Stage!N182+Stage!Q182+Stage!M182</f>
        <v>4</v>
      </c>
      <c r="J157" s="119">
        <f>IF(Stage!F182=0,0,I157/Stage!F182)</f>
        <v>2.3529411764705882E-2</v>
      </c>
      <c r="K157" s="120">
        <f t="shared" si="6"/>
        <v>44.480803254859552</v>
      </c>
      <c r="L157" s="120">
        <f t="shared" si="8"/>
        <v>39.634840938853209</v>
      </c>
      <c r="M157" s="119" t="str">
        <f t="shared" si="7"/>
        <v>보통</v>
      </c>
    </row>
    <row r="158" spans="1:13" ht="15.95" customHeight="1" x14ac:dyDescent="0.3">
      <c r="A158" s="117">
        <v>145</v>
      </c>
      <c r="B158" s="117" t="str">
        <f>Stage!C183</f>
        <v>N 145</v>
      </c>
      <c r="C158" s="117">
        <f>Stage!F183</f>
        <v>185</v>
      </c>
      <c r="D158" s="117">
        <f>IF(Stage!G183="",0,LEN(TRIM(Stage!G183))-LEN(SUBSTITUTE(TRIM(Stage!G183),",",""))+1)</f>
        <v>3</v>
      </c>
      <c r="E158" s="117">
        <f>IF(ISERROR(FIND(",",Stage!H183)),VALUE(Stage!H183),(VALUE(LEFT(Stage!H183,FIND(",",Stage!H183)-1))+VALUE(TRIM(MID(Stage!H183,FIND("|",SUBSTITUTE(Stage!H183,",","|",LEN(Stage!H183)-LEN(SUBSTITUTE(Stage!H183,",",""))))+1,100))))/2)</f>
        <v>3</v>
      </c>
      <c r="F158" s="117">
        <f>IF(ISERROR(FIND(",",Stage!I183)),VALUE(Stage!I183),(VALUE(LEFT(Stage!I183,FIND(",",Stage!I183)-1))+VALUE(TRIM(MID(Stage!I183,FIND("|",SUBSTITUTE(Stage!I183,",","|",LEN(Stage!I183)-LEN(SUBSTITUTE(Stage!I183,",",""))))+1,100))))/2)</f>
        <v>0.2</v>
      </c>
      <c r="G158" s="117">
        <f>IF(ISERROR(FIND(",",Stage!J183)),VALUE(Stage!J183),VALUE(LEFT(Stage!J183,FIND(",",Stage!J183)-1)))</f>
        <v>37</v>
      </c>
      <c r="H158" s="117">
        <f>IF(Stage!K183="",0,LEN(TRIM(Stage!K183))-LEN(SUBSTITUTE(TRIM(Stage!K183),",",""))+1)</f>
        <v>4</v>
      </c>
      <c r="I158" s="117">
        <f>Stage!O183+Stage!P183+Stage!N183+Stage!Q183+Stage!M183</f>
        <v>7</v>
      </c>
      <c r="J158" s="117">
        <f>IF(Stage!F183=0,0,I158/Stage!F183)</f>
        <v>3.783783783783784E-2</v>
      </c>
      <c r="K158" s="118">
        <f t="shared" si="6"/>
        <v>47.624676220134596</v>
      </c>
      <c r="L158" s="118">
        <f t="shared" si="8"/>
        <v>41.016729025535241</v>
      </c>
      <c r="M158" s="117" t="str">
        <f t="shared" si="7"/>
        <v>어려움</v>
      </c>
    </row>
    <row r="159" spans="1:13" ht="15.95" customHeight="1" x14ac:dyDescent="0.3">
      <c r="A159" s="119">
        <v>146</v>
      </c>
      <c r="B159" s="119" t="str">
        <f>Stage!C184</f>
        <v>N 146</v>
      </c>
      <c r="C159" s="119">
        <f>Stage!F184</f>
        <v>135</v>
      </c>
      <c r="D159" s="119">
        <f>IF(Stage!G184="",0,LEN(TRIM(Stage!G184))-LEN(SUBSTITUTE(TRIM(Stage!G184),",",""))+1)</f>
        <v>3</v>
      </c>
      <c r="E159" s="119">
        <f>IF(ISERROR(FIND(",",Stage!H184)),VALUE(Stage!H184),(VALUE(LEFT(Stage!H184,FIND(",",Stage!H184)-1))+VALUE(TRIM(MID(Stage!H184,FIND("|",SUBSTITUTE(Stage!H184,",","|",LEN(Stage!H184)-LEN(SUBSTITUTE(Stage!H184,",",""))))+1,100))))/2)</f>
        <v>2.5</v>
      </c>
      <c r="F159" s="119">
        <f>IF(ISERROR(FIND(",",Stage!I184)),VALUE(Stage!I184),(VALUE(LEFT(Stage!I184,FIND(",",Stage!I184)-1))+VALUE(TRIM(MID(Stage!I184,FIND("|",SUBSTITUTE(Stage!I184,",","|",LEN(Stage!I184)-LEN(SUBSTITUTE(Stage!I184,",",""))))+1,100))))/2)</f>
        <v>0.4</v>
      </c>
      <c r="G159" s="119">
        <f>IF(ISERROR(FIND(",",Stage!J184)),VALUE(Stage!J184),VALUE(LEFT(Stage!J184,FIND(",",Stage!J184)-1)))</f>
        <v>33</v>
      </c>
      <c r="H159" s="119">
        <f>IF(Stage!K184="",0,LEN(TRIM(Stage!K184))-LEN(SUBSTITUTE(TRIM(Stage!K184),",",""))+1)</f>
        <v>3</v>
      </c>
      <c r="I159" s="119">
        <f>Stage!O184+Stage!P184+Stage!N184+Stage!Q184+Stage!M184</f>
        <v>0</v>
      </c>
      <c r="J159" s="119">
        <f>IF(Stage!F184=0,0,I159/Stage!F184)</f>
        <v>0</v>
      </c>
      <c r="K159" s="120">
        <f t="shared" si="6"/>
        <v>35.356241739757294</v>
      </c>
      <c r="L159" s="120">
        <f t="shared" si="8"/>
        <v>40.848520446897723</v>
      </c>
      <c r="M159" s="119" t="str">
        <f t="shared" si="7"/>
        <v>보통</v>
      </c>
    </row>
    <row r="160" spans="1:13" ht="15.95" customHeight="1" x14ac:dyDescent="0.3">
      <c r="A160" s="117">
        <v>147</v>
      </c>
      <c r="B160" s="117" t="str">
        <f>Stage!C185</f>
        <v>N 147</v>
      </c>
      <c r="C160" s="117">
        <f>Stage!F185</f>
        <v>165</v>
      </c>
      <c r="D160" s="117">
        <f>IF(Stage!G185="",0,LEN(TRIM(Stage!G185))-LEN(SUBSTITUTE(TRIM(Stage!G185),",",""))+1)</f>
        <v>3</v>
      </c>
      <c r="E160" s="117">
        <f>IF(ISERROR(FIND(",",Stage!H185)),VALUE(Stage!H185),(VALUE(LEFT(Stage!H185,FIND(",",Stage!H185)-1))+VALUE(TRIM(MID(Stage!H185,FIND("|",SUBSTITUTE(Stage!H185,",","|",LEN(Stage!H185)-LEN(SUBSTITUTE(Stage!H185,",",""))))+1,100))))/2)</f>
        <v>2.5</v>
      </c>
      <c r="F160" s="117">
        <f>IF(ISERROR(FIND(",",Stage!I185)),VALUE(Stage!I185),(VALUE(LEFT(Stage!I185,FIND(",",Stage!I185)-1))+VALUE(TRIM(MID(Stage!I185,FIND("|",SUBSTITUTE(Stage!I185,",","|",LEN(Stage!I185)-LEN(SUBSTITUTE(Stage!I185,",",""))))+1,100))))/2)</f>
        <v>0.3</v>
      </c>
      <c r="G160" s="117">
        <f>IF(ISERROR(FIND(",",Stage!J185)),VALUE(Stage!J185),VALUE(LEFT(Stage!J185,FIND(",",Stage!J185)-1)))</f>
        <v>33</v>
      </c>
      <c r="H160" s="117">
        <f>IF(Stage!K185="",0,LEN(TRIM(Stage!K185))-LEN(SUBSTITUTE(TRIM(Stage!K185),",",""))+1)</f>
        <v>4</v>
      </c>
      <c r="I160" s="117">
        <f>Stage!O185+Stage!P185+Stage!N185+Stage!Q185+Stage!M185</f>
        <v>3</v>
      </c>
      <c r="J160" s="117">
        <f>IF(Stage!F185=0,0,I160/Stage!F185)</f>
        <v>1.8181818181818181E-2</v>
      </c>
      <c r="K160" s="118">
        <f t="shared" si="6"/>
        <v>41.845160726573674</v>
      </c>
      <c r="L160" s="118">
        <f t="shared" si="8"/>
        <v>40.848520446897723</v>
      </c>
      <c r="M160" s="117" t="str">
        <f t="shared" si="7"/>
        <v>보통</v>
      </c>
    </row>
    <row r="161" spans="1:13" ht="15.95" customHeight="1" x14ac:dyDescent="0.3">
      <c r="A161" s="119">
        <v>148</v>
      </c>
      <c r="B161" s="119" t="str">
        <f>Stage!C186</f>
        <v>N 148</v>
      </c>
      <c r="C161" s="119">
        <f>Stage!F186</f>
        <v>130</v>
      </c>
      <c r="D161" s="119">
        <f>IF(Stage!G186="",0,LEN(TRIM(Stage!G186))-LEN(SUBSTITUTE(TRIM(Stage!G186),",",""))+1)</f>
        <v>3</v>
      </c>
      <c r="E161" s="119">
        <f>IF(ISERROR(FIND(",",Stage!H186)),VALUE(Stage!H186),(VALUE(LEFT(Stage!H186,FIND(",",Stage!H186)-1))+VALUE(TRIM(MID(Stage!H186,FIND("|",SUBSTITUTE(Stage!H186,",","|",LEN(Stage!H186)-LEN(SUBSTITUTE(Stage!H186,",",""))))+1,100))))/2)</f>
        <v>2.5</v>
      </c>
      <c r="F161" s="119">
        <f>IF(ISERROR(FIND(",",Stage!I186)),VALUE(Stage!I186),(VALUE(LEFT(Stage!I186,FIND(",",Stage!I186)-1))+VALUE(TRIM(MID(Stage!I186,FIND("|",SUBSTITUTE(Stage!I186,",","|",LEN(Stage!I186)-LEN(SUBSTITUTE(Stage!I186,",",""))))+1,100))))/2)</f>
        <v>0.4</v>
      </c>
      <c r="G161" s="119">
        <f>IF(ISERROR(FIND(",",Stage!J186)),VALUE(Stage!J186),VALUE(LEFT(Stage!J186,FIND(",",Stage!J186)-1)))</f>
        <v>32</v>
      </c>
      <c r="H161" s="119">
        <f>IF(Stage!K186="",0,LEN(TRIM(Stage!K186))-LEN(SUBSTITUTE(TRIM(Stage!K186),",",""))+1)</f>
        <v>3</v>
      </c>
      <c r="I161" s="119">
        <f>Stage!O186+Stage!P186+Stage!N186+Stage!Q186+Stage!M186</f>
        <v>0</v>
      </c>
      <c r="J161" s="119">
        <f>IF(Stage!F186=0,0,I161/Stage!F186)</f>
        <v>0</v>
      </c>
      <c r="K161" s="120">
        <f t="shared" si="6"/>
        <v>34.93572029316352</v>
      </c>
      <c r="L161" s="120">
        <f t="shared" si="8"/>
        <v>40.416967663789009</v>
      </c>
      <c r="M161" s="119" t="str">
        <f t="shared" si="7"/>
        <v>보통</v>
      </c>
    </row>
    <row r="162" spans="1:13" ht="15.95" customHeight="1" x14ac:dyDescent="0.3">
      <c r="A162" s="117">
        <v>149</v>
      </c>
      <c r="B162" s="117" t="str">
        <f>Stage!C187</f>
        <v>N 149</v>
      </c>
      <c r="C162" s="117">
        <f>Stage!F187</f>
        <v>170</v>
      </c>
      <c r="D162" s="117">
        <f>IF(Stage!G187="",0,LEN(TRIM(Stage!G187))-LEN(SUBSTITUTE(TRIM(Stage!G187),",",""))+1)</f>
        <v>3</v>
      </c>
      <c r="E162" s="117">
        <f>IF(ISERROR(FIND(",",Stage!H187)),VALUE(Stage!H187),(VALUE(LEFT(Stage!H187,FIND(",",Stage!H187)-1))+VALUE(TRIM(MID(Stage!H187,FIND("|",SUBSTITUTE(Stage!H187,",","|",LEN(Stage!H187)-LEN(SUBSTITUTE(Stage!H187,",",""))))+1,100))))/2)</f>
        <v>3</v>
      </c>
      <c r="F162" s="117">
        <f>IF(ISERROR(FIND(",",Stage!I187)),VALUE(Stage!I187),(VALUE(LEFT(Stage!I187,FIND(",",Stage!I187)-1))+VALUE(TRIM(MID(Stage!I187,FIND("|",SUBSTITUTE(Stage!I187,",","|",LEN(Stage!I187)-LEN(SUBSTITUTE(Stage!I187,",",""))))+1,100))))/2)</f>
        <v>0.3</v>
      </c>
      <c r="G162" s="117">
        <f>IF(ISERROR(FIND(",",Stage!J187)),VALUE(Stage!J187),VALUE(LEFT(Stage!J187,FIND(",",Stage!J187)-1)))</f>
        <v>34</v>
      </c>
      <c r="H162" s="117">
        <f>IF(Stage!K187="",0,LEN(TRIM(Stage!K187))-LEN(SUBSTITUTE(TRIM(Stage!K187),",",""))+1)</f>
        <v>4</v>
      </c>
      <c r="I162" s="117">
        <f>Stage!O187+Stage!P187+Stage!N187+Stage!Q187+Stage!M187</f>
        <v>4</v>
      </c>
      <c r="J162" s="117">
        <f>IF(Stage!F187=0,0,I162/Stage!F187)</f>
        <v>2.3529411764705882E-2</v>
      </c>
      <c r="K162" s="118">
        <f t="shared" si="6"/>
        <v>44.480803254859552</v>
      </c>
      <c r="L162" s="118">
        <f t="shared" si="8"/>
        <v>39.479405086192791</v>
      </c>
      <c r="M162" s="117" t="str">
        <f t="shared" si="7"/>
        <v>보통</v>
      </c>
    </row>
    <row r="163" spans="1:13" ht="15.95" customHeight="1" x14ac:dyDescent="0.3">
      <c r="A163" s="119">
        <v>150</v>
      </c>
      <c r="B163" s="119" t="str">
        <f>Stage!C188</f>
        <v>N 150</v>
      </c>
      <c r="C163" s="119">
        <f>Stage!F188</f>
        <v>180</v>
      </c>
      <c r="D163" s="119">
        <f>IF(Stage!G188="",0,LEN(TRIM(Stage!G188))-LEN(SUBSTITUTE(TRIM(Stage!G188),",",""))+1)</f>
        <v>3</v>
      </c>
      <c r="E163" s="119">
        <f>IF(ISERROR(FIND(",",Stage!H188)),VALUE(Stage!H188),(VALUE(LEFT(Stage!H188,FIND(",",Stage!H188)-1))+VALUE(TRIM(MID(Stage!H188,FIND("|",SUBSTITUTE(Stage!H188,",","|",LEN(Stage!H188)-LEN(SUBSTITUTE(Stage!H188,",",""))))+1,100))))/2)</f>
        <v>3</v>
      </c>
      <c r="F163" s="119">
        <f>IF(ISERROR(FIND(",",Stage!I188)),VALUE(Stage!I188),(VALUE(LEFT(Stage!I188,FIND(",",Stage!I188)-1))+VALUE(TRIM(MID(Stage!I188,FIND("|",SUBSTITUTE(Stage!I188,",","|",LEN(Stage!I188)-LEN(SUBSTITUTE(Stage!I188,",",""))))+1,100))))/2)</f>
        <v>0.3</v>
      </c>
      <c r="G163" s="119">
        <f>IF(ISERROR(FIND(",",Stage!J188)),VALUE(Stage!J188),VALUE(LEFT(Stage!J188,FIND(",",Stage!J188)-1)))</f>
        <v>36</v>
      </c>
      <c r="H163" s="119">
        <f>IF(Stage!K188="",0,LEN(TRIM(Stage!K188))-LEN(SUBSTITUTE(TRIM(Stage!K188),",",""))+1)</f>
        <v>4</v>
      </c>
      <c r="I163" s="119">
        <f>Stage!O188+Stage!P188+Stage!N188+Stage!Q188+Stage!M188</f>
        <v>5</v>
      </c>
      <c r="J163" s="119">
        <f>IF(Stage!F188=0,0,I163/Stage!F188)</f>
        <v>2.7777777777777776E-2</v>
      </c>
      <c r="K163" s="120">
        <f t="shared" si="6"/>
        <v>45.46691230459102</v>
      </c>
      <c r="L163" s="120">
        <f t="shared" si="8"/>
        <v>38.26572557814827</v>
      </c>
      <c r="M163" s="119" t="str">
        <f t="shared" si="7"/>
        <v>어려움</v>
      </c>
    </row>
    <row r="164" spans="1:13" ht="15.95" customHeight="1" x14ac:dyDescent="0.3">
      <c r="A164" s="117">
        <v>151</v>
      </c>
      <c r="B164" s="117" t="str">
        <f>Stage!C189</f>
        <v>N 151</v>
      </c>
      <c r="C164" s="117">
        <f>Stage!F189</f>
        <v>120</v>
      </c>
      <c r="D164" s="117">
        <f>IF(Stage!G189="",0,LEN(TRIM(Stage!G189))-LEN(SUBSTITUTE(TRIM(Stage!G189),",",""))+1)</f>
        <v>3</v>
      </c>
      <c r="E164" s="117">
        <f>IF(ISERROR(FIND(",",Stage!H189)),VALUE(Stage!H189),(VALUE(LEFT(Stage!H189,FIND(",",Stage!H189)-1))+VALUE(TRIM(MID(Stage!H189,FIND("|",SUBSTITUTE(Stage!H189,",","|",LEN(Stage!H189)-LEN(SUBSTITUTE(Stage!H189,",",""))))+1,100))))/2)</f>
        <v>2</v>
      </c>
      <c r="F164" s="117">
        <f>IF(ISERROR(FIND(",",Stage!I189)),VALUE(Stage!I189),(VALUE(LEFT(Stage!I189,FIND(",",Stage!I189)-1))+VALUE(TRIM(MID(Stage!I189,FIND("|",SUBSTITUTE(Stage!I189,",","|",LEN(Stage!I189)-LEN(SUBSTITUTE(Stage!I189,",",""))))+1,100))))/2)</f>
        <v>0.5</v>
      </c>
      <c r="G164" s="117">
        <f>IF(ISERROR(FIND(",",Stage!J189)),VALUE(Stage!J189),VALUE(LEFT(Stage!J189,FIND(",",Stage!J189)-1)))</f>
        <v>30</v>
      </c>
      <c r="H164" s="117">
        <f>IF(Stage!K189="",0,LEN(TRIM(Stage!K189))-LEN(SUBSTITUTE(TRIM(Stage!K189),",",""))+1)</f>
        <v>3</v>
      </c>
      <c r="I164" s="117">
        <f>Stage!O189+Stage!P189+Stage!N189+Stage!Q189+Stage!M189</f>
        <v>0</v>
      </c>
      <c r="J164" s="117">
        <f>IF(Stage!F189=0,0,I164/Stage!F189)</f>
        <v>0</v>
      </c>
      <c r="K164" s="118">
        <f t="shared" si="6"/>
        <v>30.668428851776209</v>
      </c>
      <c r="L164" s="118">
        <f t="shared" si="8"/>
        <v>38.518038446104541</v>
      </c>
      <c r="M164" s="117" t="str">
        <f t="shared" si="7"/>
        <v>보통</v>
      </c>
    </row>
    <row r="165" spans="1:13" ht="15.95" customHeight="1" x14ac:dyDescent="0.3">
      <c r="A165" s="119">
        <v>152</v>
      </c>
      <c r="B165" s="119" t="str">
        <f>Stage!C190</f>
        <v>N 152</v>
      </c>
      <c r="C165" s="119">
        <f>Stage!F190</f>
        <v>140</v>
      </c>
      <c r="D165" s="119">
        <f>IF(Stage!G190="",0,LEN(TRIM(Stage!G190))-LEN(SUBSTITUTE(TRIM(Stage!G190),",",""))+1)</f>
        <v>3</v>
      </c>
      <c r="E165" s="119">
        <f>IF(ISERROR(FIND(",",Stage!H190)),VALUE(Stage!H190),(VALUE(LEFT(Stage!H190,FIND(",",Stage!H190)-1))+VALUE(TRIM(MID(Stage!H190,FIND("|",SUBSTITUTE(Stage!H190,",","|",LEN(Stage!H190)-LEN(SUBSTITUTE(Stage!H190,",",""))))+1,100))))/2)</f>
        <v>2.5</v>
      </c>
      <c r="F165" s="119">
        <f>IF(ISERROR(FIND(",",Stage!I190)),VALUE(Stage!I190),(VALUE(LEFT(Stage!I190,FIND(",",Stage!I190)-1))+VALUE(TRIM(MID(Stage!I190,FIND("|",SUBSTITUTE(Stage!I190,",","|",LEN(Stage!I190)-LEN(SUBSTITUTE(Stage!I190,",",""))))+1,100))))/2)</f>
        <v>0.4</v>
      </c>
      <c r="G165" s="119">
        <f>IF(ISERROR(FIND(",",Stage!J190)),VALUE(Stage!J190),VALUE(LEFT(Stage!J190,FIND(",",Stage!J190)-1)))</f>
        <v>35</v>
      </c>
      <c r="H165" s="119">
        <f>IF(Stage!K190="",0,LEN(TRIM(Stage!K190))-LEN(SUBSTITUTE(TRIM(Stage!K190),",",""))+1)</f>
        <v>3</v>
      </c>
      <c r="I165" s="119">
        <f>Stage!O190+Stage!P190+Stage!N190+Stage!Q190+Stage!M190</f>
        <v>0</v>
      </c>
      <c r="J165" s="119">
        <f>IF(Stage!F190=0,0,I165/Stage!F190)</f>
        <v>0</v>
      </c>
      <c r="K165" s="120">
        <f t="shared" si="6"/>
        <v>35.776763186351076</v>
      </c>
      <c r="L165" s="120">
        <f t="shared" si="8"/>
        <v>37.58925734577543</v>
      </c>
      <c r="M165" s="119" t="str">
        <f t="shared" si="7"/>
        <v>보통</v>
      </c>
    </row>
    <row r="166" spans="1:13" ht="15.95" customHeight="1" x14ac:dyDescent="0.3">
      <c r="A166" s="117">
        <v>153</v>
      </c>
      <c r="B166" s="117" t="str">
        <f>Stage!C191</f>
        <v>N 153</v>
      </c>
      <c r="C166" s="117">
        <f>Stage!F191</f>
        <v>145</v>
      </c>
      <c r="D166" s="117">
        <f>IF(Stage!G191="",0,LEN(TRIM(Stage!G191))-LEN(SUBSTITUTE(TRIM(Stage!G191),",",""))+1)</f>
        <v>3</v>
      </c>
      <c r="E166" s="117">
        <f>IF(ISERROR(FIND(",",Stage!H191)),VALUE(Stage!H191),(VALUE(LEFT(Stage!H191,FIND(",",Stage!H191)-1))+VALUE(TRIM(MID(Stage!H191,FIND("|",SUBSTITUTE(Stage!H191,",","|",LEN(Stage!H191)-LEN(SUBSTITUTE(Stage!H191,",",""))))+1,100))))/2)</f>
        <v>2.5</v>
      </c>
      <c r="F166" s="117">
        <f>IF(ISERROR(FIND(",",Stage!I191)),VALUE(Stage!I191),(VALUE(LEFT(Stage!I191,FIND(",",Stage!I191)-1))+VALUE(TRIM(MID(Stage!I191,FIND("|",SUBSTITUTE(Stage!I191,",","|",LEN(Stage!I191)-LEN(SUBSTITUTE(Stage!I191,",",""))))+1,100))))/2)</f>
        <v>0.4</v>
      </c>
      <c r="G166" s="117">
        <f>IF(ISERROR(FIND(",",Stage!J191)),VALUE(Stage!J191),VALUE(LEFT(Stage!J191,FIND(",",Stage!J191)-1)))</f>
        <v>36</v>
      </c>
      <c r="H166" s="117">
        <f>IF(Stage!K191="",0,LEN(TRIM(Stage!K191))-LEN(SUBSTITUTE(TRIM(Stage!K191),",",""))+1)</f>
        <v>3</v>
      </c>
      <c r="I166" s="117">
        <f>Stage!O191+Stage!P191+Stage!N191+Stage!Q191+Stage!M191</f>
        <v>0</v>
      </c>
      <c r="J166" s="117">
        <f>IF(Stage!F191=0,0,I166/Stage!F191)</f>
        <v>0</v>
      </c>
      <c r="K166" s="118">
        <f t="shared" si="6"/>
        <v>36.19728463294485</v>
      </c>
      <c r="L166" s="118">
        <f t="shared" si="8"/>
        <v>34.713664944531217</v>
      </c>
      <c r="M166" s="117" t="str">
        <f t="shared" si="7"/>
        <v>보통</v>
      </c>
    </row>
    <row r="167" spans="1:13" ht="15.95" customHeight="1" x14ac:dyDescent="0.3">
      <c r="A167" s="119">
        <v>154</v>
      </c>
      <c r="B167" s="119" t="str">
        <f>Stage!C192</f>
        <v>N 154</v>
      </c>
      <c r="C167" s="119">
        <f>Stage!F192</f>
        <v>160</v>
      </c>
      <c r="D167" s="119">
        <f>IF(Stage!G192="",0,LEN(TRIM(Stage!G192))-LEN(SUBSTITUTE(TRIM(Stage!G192),",",""))+1)</f>
        <v>3</v>
      </c>
      <c r="E167" s="119">
        <f>IF(ISERROR(FIND(",",Stage!H192)),VALUE(Stage!H192),(VALUE(LEFT(Stage!H192,FIND(",",Stage!H192)-1))+VALUE(TRIM(MID(Stage!H192,FIND("|",SUBSTITUTE(Stage!H192,",","|",LEN(Stage!H192)-LEN(SUBSTITUTE(Stage!H192,",",""))))+1,100))))/2)</f>
        <v>2.5</v>
      </c>
      <c r="F167" s="119">
        <f>IF(ISERROR(FIND(",",Stage!I192)),VALUE(Stage!I192),(VALUE(LEFT(Stage!I192,FIND(",",Stage!I192)-1))+VALUE(TRIM(MID(Stage!I192,FIND("|",SUBSTITUTE(Stage!I192,",","|",LEN(Stage!I192)-LEN(SUBSTITUTE(Stage!I192,",",""))))+1,100))))/2)</f>
        <v>0.4</v>
      </c>
      <c r="G167" s="119">
        <f>IF(ISERROR(FIND(",",Stage!J192)),VALUE(Stage!J192),VALUE(LEFT(Stage!J192,FIND(",",Stage!J192)-1)))</f>
        <v>32</v>
      </c>
      <c r="H167" s="119">
        <f>IF(Stage!K192="",0,LEN(TRIM(Stage!K192))-LEN(SUBSTITUTE(TRIM(Stage!K192),",",""))+1)</f>
        <v>4</v>
      </c>
      <c r="I167" s="119">
        <f>Stage!O192+Stage!P192+Stage!N192+Stage!Q192+Stage!M192</f>
        <v>2</v>
      </c>
      <c r="J167" s="119">
        <f>IF(Stage!F192=0,0,I167/Stage!F192)</f>
        <v>1.2500000000000001E-2</v>
      </c>
      <c r="K167" s="120">
        <f t="shared" si="6"/>
        <v>39.836897753213982</v>
      </c>
      <c r="L167" s="120">
        <f t="shared" si="8"/>
        <v>32.905823220793778</v>
      </c>
      <c r="M167" s="119" t="str">
        <f t="shared" si="7"/>
        <v>보통</v>
      </c>
    </row>
    <row r="168" spans="1:13" ht="15.95" customHeight="1" x14ac:dyDescent="0.3">
      <c r="A168" s="117">
        <v>155</v>
      </c>
      <c r="B168" s="117" t="str">
        <f>Stage!C193</f>
        <v>N 155</v>
      </c>
      <c r="C168" s="117">
        <f>Stage!F193</f>
        <v>125</v>
      </c>
      <c r="D168" s="117">
        <f>IF(Stage!G193="",0,LEN(TRIM(Stage!G193))-LEN(SUBSTITUTE(TRIM(Stage!G193),",",""))+1)</f>
        <v>3</v>
      </c>
      <c r="E168" s="117">
        <f>IF(ISERROR(FIND(",",Stage!H193)),VALUE(Stage!H193),(VALUE(LEFT(Stage!H193,FIND(",",Stage!H193)-1))+VALUE(TRIM(MID(Stage!H193,FIND("|",SUBSTITUTE(Stage!H193,",","|",LEN(Stage!H193)-LEN(SUBSTITUTE(Stage!H193,",",""))))+1,100))))/2)</f>
        <v>2</v>
      </c>
      <c r="F168" s="117">
        <f>IF(ISERROR(FIND(",",Stage!I193)),VALUE(Stage!I193),(VALUE(LEFT(Stage!I193,FIND(",",Stage!I193)-1))+VALUE(TRIM(MID(Stage!I193,FIND("|",SUBSTITUTE(Stage!I193,",","|",LEN(Stage!I193)-LEN(SUBSTITUTE(Stage!I193,",",""))))+1,100))))/2)</f>
        <v>0.5</v>
      </c>
      <c r="G168" s="117">
        <f>IF(ISERROR(FIND(",",Stage!J193)),VALUE(Stage!J193),VALUE(LEFT(Stage!J193,FIND(",",Stage!J193)-1)))</f>
        <v>31</v>
      </c>
      <c r="H168" s="117">
        <f>IF(Stage!K193="",0,LEN(TRIM(Stage!K193))-LEN(SUBSTITUTE(TRIM(Stage!K193),",",""))+1)</f>
        <v>3</v>
      </c>
      <c r="I168" s="117">
        <f>Stage!O193+Stage!P193+Stage!N193+Stage!Q193+Stage!M193</f>
        <v>0</v>
      </c>
      <c r="J168" s="117">
        <f>IF(Stage!F193=0,0,I168/Stage!F193)</f>
        <v>0</v>
      </c>
      <c r="K168" s="118">
        <f t="shared" si="6"/>
        <v>31.088950298369983</v>
      </c>
      <c r="L168" s="118">
        <f t="shared" si="8"/>
        <v>31.968260643197567</v>
      </c>
      <c r="M168" s="117" t="str">
        <f t="shared" si="7"/>
        <v>보통</v>
      </c>
    </row>
    <row r="169" spans="1:13" ht="15.95" customHeight="1" x14ac:dyDescent="0.3">
      <c r="A169" s="119">
        <v>156</v>
      </c>
      <c r="B169" s="119" t="str">
        <f>Stage!C194</f>
        <v>N 156</v>
      </c>
      <c r="C169" s="119">
        <f>Stage!F194</f>
        <v>65</v>
      </c>
      <c r="D169" s="119">
        <f>IF(Stage!G194="",0,LEN(TRIM(Stage!G194))-LEN(SUBSTITUTE(TRIM(Stage!G194),",",""))+1)</f>
        <v>2</v>
      </c>
      <c r="E169" s="119">
        <f>IF(ISERROR(FIND(",",Stage!H194)),VALUE(Stage!H194),(VALUE(LEFT(Stage!H194,FIND(",",Stage!H194)-1))+VALUE(TRIM(MID(Stage!H194,FIND("|",SUBSTITUTE(Stage!H194,",","|",LEN(Stage!H194)-LEN(SUBSTITUTE(Stage!H194,",",""))))+1,100))))/2)</f>
        <v>1</v>
      </c>
      <c r="F169" s="119">
        <f>IF(ISERROR(FIND(",",Stage!I194)),VALUE(Stage!I194),(VALUE(LEFT(Stage!I194,FIND(",",Stage!I194)-1))+VALUE(TRIM(MID(Stage!I194,FIND("|",SUBSTITUTE(Stage!I194,",","|",LEN(Stage!I194)-LEN(SUBSTITUTE(Stage!I194,",",""))))+1,100))))/2)</f>
        <v>0.7</v>
      </c>
      <c r="G169" s="119">
        <f>IF(ISERROR(FIND(",",Stage!J194)),VALUE(Stage!J194),VALUE(LEFT(Stage!J194,FIND(",",Stage!J194)-1)))</f>
        <v>16</v>
      </c>
      <c r="H169" s="119">
        <f>IF(Stage!K194="",0,LEN(TRIM(Stage!K194))-LEN(SUBSTITUTE(TRIM(Stage!K194),",",""))+1)</f>
        <v>3</v>
      </c>
      <c r="I169" s="119">
        <f>Stage!O194+Stage!P194+Stage!N194+Stage!Q194+Stage!M194</f>
        <v>0</v>
      </c>
      <c r="J169" s="119">
        <f>IF(Stage!F194=0,0,I169/Stage!F194)</f>
        <v>0</v>
      </c>
      <c r="K169" s="120">
        <f t="shared" si="6"/>
        <v>21.629220233089033</v>
      </c>
      <c r="L169" s="120">
        <f t="shared" si="8"/>
        <v>33.624964367580503</v>
      </c>
      <c r="M169" s="119" t="str">
        <f t="shared" si="7"/>
        <v>쉬움</v>
      </c>
    </row>
    <row r="170" spans="1:13" ht="15.95" customHeight="1" x14ac:dyDescent="0.3">
      <c r="A170" s="117">
        <v>157</v>
      </c>
      <c r="B170" s="117" t="str">
        <f>Stage!C195</f>
        <v>N 157</v>
      </c>
      <c r="C170" s="117">
        <f>Stage!F195</f>
        <v>125</v>
      </c>
      <c r="D170" s="117">
        <f>IF(Stage!G195="",0,LEN(TRIM(Stage!G195))-LEN(SUBSTITUTE(TRIM(Stage!G195),",",""))+1)</f>
        <v>3</v>
      </c>
      <c r="E170" s="117">
        <f>IF(ISERROR(FIND(",",Stage!H195)),VALUE(Stage!H195),(VALUE(LEFT(Stage!H195,FIND(",",Stage!H195)-1))+VALUE(TRIM(MID(Stage!H195,FIND("|",SUBSTITUTE(Stage!H195,",","|",LEN(Stage!H195)-LEN(SUBSTITUTE(Stage!H195,",",""))))+1,100))))/2)</f>
        <v>2</v>
      </c>
      <c r="F170" s="117">
        <f>IF(ISERROR(FIND(",",Stage!I195)),VALUE(Stage!I195),(VALUE(LEFT(Stage!I195,FIND(",",Stage!I195)-1))+VALUE(TRIM(MID(Stage!I195,FIND("|",SUBSTITUTE(Stage!I195,",","|",LEN(Stage!I195)-LEN(SUBSTITUTE(Stage!I195,",",""))))+1,100))))/2)</f>
        <v>0.5</v>
      </c>
      <c r="G170" s="117">
        <f>IF(ISERROR(FIND(",",Stage!J195)),VALUE(Stage!J195),VALUE(LEFT(Stage!J195,FIND(",",Stage!J195)-1)))</f>
        <v>31</v>
      </c>
      <c r="H170" s="117">
        <f>IF(Stage!K195="",0,LEN(TRIM(Stage!K195))-LEN(SUBSTITUTE(TRIM(Stage!K195),",",""))+1)</f>
        <v>3</v>
      </c>
      <c r="I170" s="117">
        <f>Stage!O195+Stage!P195+Stage!N195+Stage!Q195+Stage!M195</f>
        <v>0</v>
      </c>
      <c r="J170" s="117">
        <f>IF(Stage!F195=0,0,I170/Stage!F195)</f>
        <v>0</v>
      </c>
      <c r="K170" s="118">
        <f t="shared" si="6"/>
        <v>31.088950298369983</v>
      </c>
      <c r="L170" s="118">
        <f t="shared" si="8"/>
        <v>31.959479165930457</v>
      </c>
      <c r="M170" s="117" t="str">
        <f t="shared" si="7"/>
        <v>보통</v>
      </c>
    </row>
    <row r="171" spans="1:13" ht="15.95" customHeight="1" x14ac:dyDescent="0.3">
      <c r="A171" s="119">
        <v>158</v>
      </c>
      <c r="B171" s="119" t="str">
        <f>Stage!C196</f>
        <v>N 158</v>
      </c>
      <c r="C171" s="119">
        <f>Stage!F196</f>
        <v>170</v>
      </c>
      <c r="D171" s="119">
        <f>IF(Stage!G196="",0,LEN(TRIM(Stage!G196))-LEN(SUBSTITUTE(TRIM(Stage!G196),",",""))+1)</f>
        <v>3</v>
      </c>
      <c r="E171" s="119">
        <f>IF(ISERROR(FIND(",",Stage!H196)),VALUE(Stage!H196),(VALUE(LEFT(Stage!H196,FIND(",",Stage!H196)-1))+VALUE(TRIM(MID(Stage!H196,FIND("|",SUBSTITUTE(Stage!H196,",","|",LEN(Stage!H196)-LEN(SUBSTITUTE(Stage!H196,",",""))))+1,100))))/2)</f>
        <v>3</v>
      </c>
      <c r="F171" s="119">
        <f>IF(ISERROR(FIND(",",Stage!I196)),VALUE(Stage!I196),(VALUE(LEFT(Stage!I196,FIND(",",Stage!I196)-1))+VALUE(TRIM(MID(Stage!I196,FIND("|",SUBSTITUTE(Stage!I196,",","|",LEN(Stage!I196)-LEN(SUBSTITUTE(Stage!I196,",",""))))+1,100))))/2)</f>
        <v>0.3</v>
      </c>
      <c r="G171" s="119">
        <f>IF(ISERROR(FIND(",",Stage!J196)),VALUE(Stage!J196),VALUE(LEFT(Stage!J196,FIND(",",Stage!J196)-1)))</f>
        <v>34</v>
      </c>
      <c r="H171" s="119">
        <f>IF(Stage!K196="",0,LEN(TRIM(Stage!K196))-LEN(SUBSTITUTE(TRIM(Stage!K196),",",""))+1)</f>
        <v>4</v>
      </c>
      <c r="I171" s="119">
        <f>Stage!O196+Stage!P196+Stage!N196+Stage!Q196+Stage!M196</f>
        <v>4</v>
      </c>
      <c r="J171" s="119">
        <f>IF(Stage!F196=0,0,I171/Stage!F196)</f>
        <v>2.3529411764705882E-2</v>
      </c>
      <c r="K171" s="120">
        <f t="shared" si="6"/>
        <v>44.480803254859552</v>
      </c>
      <c r="L171" s="120">
        <f t="shared" si="8"/>
        <v>34.597677590800821</v>
      </c>
      <c r="M171" s="119" t="str">
        <f t="shared" si="7"/>
        <v>보통</v>
      </c>
    </row>
    <row r="172" spans="1:13" ht="15.95" customHeight="1" x14ac:dyDescent="0.3">
      <c r="A172" s="117">
        <v>159</v>
      </c>
      <c r="B172" s="117" t="str">
        <f>Stage!C197</f>
        <v>N 159</v>
      </c>
      <c r="C172" s="117">
        <f>Stage!F197</f>
        <v>130</v>
      </c>
      <c r="D172" s="117">
        <f>IF(Stage!G197="",0,LEN(TRIM(Stage!G197))-LEN(SUBSTITUTE(TRIM(Stage!G197),",",""))+1)</f>
        <v>3</v>
      </c>
      <c r="E172" s="117">
        <f>IF(ISERROR(FIND(",",Stage!H197)),VALUE(Stage!H197),(VALUE(LEFT(Stage!H197,FIND(",",Stage!H197)-1))+VALUE(TRIM(MID(Stage!H197,FIND("|",SUBSTITUTE(Stage!H197,",","|",LEN(Stage!H197)-LEN(SUBSTITUTE(Stage!H197,",",""))))+1,100))))/2)</f>
        <v>2</v>
      </c>
      <c r="F172" s="117">
        <f>IF(ISERROR(FIND(",",Stage!I197)),VALUE(Stage!I197),(VALUE(LEFT(Stage!I197,FIND(",",Stage!I197)-1))+VALUE(TRIM(MID(Stage!I197,FIND("|",SUBSTITUTE(Stage!I197,",","|",LEN(Stage!I197)-LEN(SUBSTITUTE(Stage!I197,",",""))))+1,100))))/2)</f>
        <v>0.5</v>
      </c>
      <c r="G172" s="117">
        <f>IF(ISERROR(FIND(",",Stage!J197)),VALUE(Stage!J197),VALUE(LEFT(Stage!J197,FIND(",",Stage!J197)-1)))</f>
        <v>32</v>
      </c>
      <c r="H172" s="117">
        <f>IF(Stage!K197="",0,LEN(TRIM(Stage!K197))-LEN(SUBSTITUTE(TRIM(Stage!K197),",",""))+1)</f>
        <v>3</v>
      </c>
      <c r="I172" s="117">
        <f>Stage!O197+Stage!P197+Stage!N197+Stage!Q197+Stage!M197</f>
        <v>0</v>
      </c>
      <c r="J172" s="117">
        <f>IF(Stage!F197=0,0,I172/Stage!F197)</f>
        <v>0</v>
      </c>
      <c r="K172" s="118">
        <f t="shared" si="6"/>
        <v>31.509471744963758</v>
      </c>
      <c r="L172" s="118">
        <f t="shared" si="8"/>
        <v>37.343081892134478</v>
      </c>
      <c r="M172" s="117" t="str">
        <f t="shared" si="7"/>
        <v>보통</v>
      </c>
    </row>
    <row r="173" spans="1:13" ht="15.95" customHeight="1" x14ac:dyDescent="0.3">
      <c r="A173" s="119">
        <v>160</v>
      </c>
      <c r="B173" s="119" t="str">
        <f>Stage!C198</f>
        <v>N 160</v>
      </c>
      <c r="C173" s="119">
        <f>Stage!F198</f>
        <v>170</v>
      </c>
      <c r="D173" s="119">
        <f>IF(Stage!G198="",0,LEN(TRIM(Stage!G198))-LEN(SUBSTITUTE(TRIM(Stage!G198),",",""))+1)</f>
        <v>3</v>
      </c>
      <c r="E173" s="119">
        <f>IF(ISERROR(FIND(",",Stage!H198)),VALUE(Stage!H198),(VALUE(LEFT(Stage!H198,FIND(",",Stage!H198)-1))+VALUE(TRIM(MID(Stage!H198,FIND("|",SUBSTITUTE(Stage!H198,",","|",LEN(Stage!H198)-LEN(SUBSTITUTE(Stage!H198,",",""))))+1,100))))/2)</f>
        <v>3</v>
      </c>
      <c r="F173" s="119">
        <f>IF(ISERROR(FIND(",",Stage!I198)),VALUE(Stage!I198),(VALUE(LEFT(Stage!I198,FIND(",",Stage!I198)-1))+VALUE(TRIM(MID(Stage!I198,FIND("|",SUBSTITUTE(Stage!I198,",","|",LEN(Stage!I198)-LEN(SUBSTITUTE(Stage!I198,",",""))))+1,100))))/2)</f>
        <v>0.3</v>
      </c>
      <c r="G173" s="119">
        <f>IF(ISERROR(FIND(",",Stage!J198)),VALUE(Stage!J198),VALUE(LEFT(Stage!J198,FIND(",",Stage!J198)-1)))</f>
        <v>34</v>
      </c>
      <c r="H173" s="119">
        <f>IF(Stage!K198="",0,LEN(TRIM(Stage!K198))-LEN(SUBSTITUTE(TRIM(Stage!K198),",",""))+1)</f>
        <v>4</v>
      </c>
      <c r="I173" s="119">
        <f>Stage!O198+Stage!P198+Stage!N198+Stage!Q198+Stage!M198</f>
        <v>3</v>
      </c>
      <c r="J173" s="119">
        <f>IF(Stage!F198=0,0,I173/Stage!F198)</f>
        <v>1.7647058823529412E-2</v>
      </c>
      <c r="K173" s="120">
        <f t="shared" si="6"/>
        <v>44.279942422721817</v>
      </c>
      <c r="L173" s="120">
        <f t="shared" si="8"/>
        <v>38.494381503652761</v>
      </c>
      <c r="M173" s="119" t="str">
        <f t="shared" si="7"/>
        <v>보통</v>
      </c>
    </row>
    <row r="174" spans="1:13" ht="15.95" customHeight="1" x14ac:dyDescent="0.3">
      <c r="A174" s="117">
        <v>161</v>
      </c>
      <c r="B174" s="117" t="str">
        <f>Stage!C199</f>
        <v>N 161</v>
      </c>
      <c r="C174" s="117">
        <f>Stage!F199</f>
        <v>135</v>
      </c>
      <c r="D174" s="117">
        <f>IF(Stage!G199="",0,LEN(TRIM(Stage!G199))-LEN(SUBSTITUTE(TRIM(Stage!G199),",",""))+1)</f>
        <v>3</v>
      </c>
      <c r="E174" s="117">
        <f>IF(ISERROR(FIND(",",Stage!H199)),VALUE(Stage!H199),(VALUE(LEFT(Stage!H199,FIND(",",Stage!H199)-1))+VALUE(TRIM(MID(Stage!H199,FIND("|",SUBSTITUTE(Stage!H199,",","|",LEN(Stage!H199)-LEN(SUBSTITUTE(Stage!H199,",",""))))+1,100))))/2)</f>
        <v>2.5</v>
      </c>
      <c r="F174" s="117">
        <f>IF(ISERROR(FIND(",",Stage!I199)),VALUE(Stage!I199),(VALUE(LEFT(Stage!I199,FIND(",",Stage!I199)-1))+VALUE(TRIM(MID(Stage!I199,FIND("|",SUBSTITUTE(Stage!I199,",","|",LEN(Stage!I199)-LEN(SUBSTITUTE(Stage!I199,",",""))))+1,100))))/2)</f>
        <v>0.4</v>
      </c>
      <c r="G174" s="117">
        <f>IF(ISERROR(FIND(",",Stage!J199)),VALUE(Stage!J199),VALUE(LEFT(Stage!J199,FIND(",",Stage!J199)-1)))</f>
        <v>33</v>
      </c>
      <c r="H174" s="117">
        <f>IF(Stage!K199="",0,LEN(TRIM(Stage!K199))-LEN(SUBSTITUTE(TRIM(Stage!K199),",",""))+1)</f>
        <v>3</v>
      </c>
      <c r="I174" s="117">
        <f>Stage!O199+Stage!P199+Stage!N199+Stage!Q199+Stage!M199</f>
        <v>0</v>
      </c>
      <c r="J174" s="117">
        <f>IF(Stage!F199=0,0,I174/Stage!F199)</f>
        <v>0</v>
      </c>
      <c r="K174" s="118">
        <f t="shared" si="6"/>
        <v>35.356241739757294</v>
      </c>
      <c r="L174" s="118">
        <f t="shared" si="8"/>
        <v>39.492673974551977</v>
      </c>
      <c r="M174" s="117" t="str">
        <f t="shared" si="7"/>
        <v>보통</v>
      </c>
    </row>
    <row r="175" spans="1:13" ht="15.95" customHeight="1" x14ac:dyDescent="0.3">
      <c r="A175" s="119">
        <v>162</v>
      </c>
      <c r="B175" s="119" t="str">
        <f>Stage!C200</f>
        <v>N 162</v>
      </c>
      <c r="C175" s="119">
        <f>Stage!F200</f>
        <v>150</v>
      </c>
      <c r="D175" s="119">
        <f>IF(Stage!G200="",0,LEN(TRIM(Stage!G200))-LEN(SUBSTITUTE(TRIM(Stage!G200),",",""))+1)</f>
        <v>3</v>
      </c>
      <c r="E175" s="119">
        <f>IF(ISERROR(FIND(",",Stage!H200)),VALUE(Stage!H200),(VALUE(LEFT(Stage!H200,FIND(",",Stage!H200)-1))+VALUE(TRIM(MID(Stage!H200,FIND("|",SUBSTITUTE(Stage!H200,",","|",LEN(Stage!H200)-LEN(SUBSTITUTE(Stage!H200,",",""))))+1,100))))/2)</f>
        <v>2.5</v>
      </c>
      <c r="F175" s="119">
        <f>IF(ISERROR(FIND(",",Stage!I200)),VALUE(Stage!I200),(VALUE(LEFT(Stage!I200,FIND(",",Stage!I200)-1))+VALUE(TRIM(MID(Stage!I200,FIND("|",SUBSTITUTE(Stage!I200,",","|",LEN(Stage!I200)-LEN(SUBSTITUTE(Stage!I200,",",""))))+1,100))))/2)</f>
        <v>0.4</v>
      </c>
      <c r="G175" s="119">
        <f>IF(ISERROR(FIND(",",Stage!J200)),VALUE(Stage!J200),VALUE(LEFT(Stage!J200,FIND(",",Stage!J200)-1)))</f>
        <v>37</v>
      </c>
      <c r="H175" s="119">
        <f>IF(Stage!K200="",0,LEN(TRIM(Stage!K200))-LEN(SUBSTITUTE(TRIM(Stage!K200),",",""))+1)</f>
        <v>3</v>
      </c>
      <c r="I175" s="119">
        <f>Stage!O200+Stage!P200+Stage!N200+Stage!Q200+Stage!M200</f>
        <v>1</v>
      </c>
      <c r="J175" s="119">
        <f>IF(Stage!F200=0,0,I175/Stage!F200)</f>
        <v>6.6666666666666671E-3</v>
      </c>
      <c r="K175" s="120">
        <f t="shared" si="6"/>
        <v>36.845448355961388</v>
      </c>
      <c r="L175" s="120">
        <f t="shared" si="8"/>
        <v>42.086940276531131</v>
      </c>
      <c r="M175" s="119" t="str">
        <f t="shared" si="7"/>
        <v>보통</v>
      </c>
    </row>
    <row r="176" spans="1:13" ht="15.95" customHeight="1" x14ac:dyDescent="0.3">
      <c r="A176" s="117">
        <v>163</v>
      </c>
      <c r="B176" s="117" t="str">
        <f>Stage!C201</f>
        <v>N 163</v>
      </c>
      <c r="C176" s="117">
        <f>Stage!F201</f>
        <v>200</v>
      </c>
      <c r="D176" s="117">
        <f>IF(Stage!G201="",0,LEN(TRIM(Stage!G201))-LEN(SUBSTITUTE(TRIM(Stage!G201),",",""))+1)</f>
        <v>3</v>
      </c>
      <c r="E176" s="117">
        <f>IF(ISERROR(FIND(",",Stage!H201)),VALUE(Stage!H201),(VALUE(LEFT(Stage!H201,FIND(",",Stage!H201)-1))+VALUE(TRIM(MID(Stage!H201,FIND("|",SUBSTITUTE(Stage!H201,",","|",LEN(Stage!H201)-LEN(SUBSTITUTE(Stage!H201,",",""))))+1,100))))/2)</f>
        <v>3</v>
      </c>
      <c r="F176" s="117">
        <f>IF(ISERROR(FIND(",",Stage!I201)),VALUE(Stage!I201),(VALUE(LEFT(Stage!I201,FIND(",",Stage!I201)-1))+VALUE(TRIM(MID(Stage!I201,FIND("|",SUBSTITUTE(Stage!I201,",","|",LEN(Stage!I201)-LEN(SUBSTITUTE(Stage!I201,",",""))))+1,100))))/2)</f>
        <v>0.2</v>
      </c>
      <c r="G176" s="117">
        <f>IF(ISERROR(FIND(",",Stage!J201)),VALUE(Stage!J201),VALUE(LEFT(Stage!J201,FIND(",",Stage!J201)-1)))</f>
        <v>40</v>
      </c>
      <c r="H176" s="117">
        <f>IF(Stage!K201="",0,LEN(TRIM(Stage!K201))-LEN(SUBSTITUTE(TRIM(Stage!K201),",",""))+1)</f>
        <v>4</v>
      </c>
      <c r="I176" s="117">
        <f>Stage!O201+Stage!P201+Stage!N201+Stage!Q201+Stage!M201</f>
        <v>11</v>
      </c>
      <c r="J176" s="117">
        <f>IF(Stage!F201=0,0,I176/Stage!F201)</f>
        <v>5.5E-2</v>
      </c>
      <c r="K176" s="118">
        <f t="shared" si="6"/>
        <v>49.472265609355603</v>
      </c>
      <c r="L176" s="118">
        <f t="shared" si="8"/>
        <v>41.599983937301502</v>
      </c>
      <c r="M176" s="117" t="str">
        <f t="shared" si="7"/>
        <v>어려움</v>
      </c>
    </row>
    <row r="177" spans="1:13" ht="15.95" customHeight="1" x14ac:dyDescent="0.3">
      <c r="A177" s="119">
        <v>164</v>
      </c>
      <c r="B177" s="119" t="str">
        <f>Stage!C202</f>
        <v>N 164</v>
      </c>
      <c r="C177" s="119">
        <f>Stage!F202</f>
        <v>170</v>
      </c>
      <c r="D177" s="119">
        <f>IF(Stage!G202="",0,LEN(TRIM(Stage!G202))-LEN(SUBSTITUTE(TRIM(Stage!G202),",",""))+1)</f>
        <v>3</v>
      </c>
      <c r="E177" s="119">
        <f>IF(ISERROR(FIND(",",Stage!H202)),VALUE(Stage!H202),(VALUE(LEFT(Stage!H202,FIND(",",Stage!H202)-1))+VALUE(TRIM(MID(Stage!H202,FIND("|",SUBSTITUTE(Stage!H202,",","|",LEN(Stage!H202)-LEN(SUBSTITUTE(Stage!H202,",",""))))+1,100))))/2)</f>
        <v>3</v>
      </c>
      <c r="F177" s="119">
        <f>IF(ISERROR(FIND(",",Stage!I202)),VALUE(Stage!I202),(VALUE(LEFT(Stage!I202,FIND(",",Stage!I202)-1))+VALUE(TRIM(MID(Stage!I202,FIND("|",SUBSTITUTE(Stage!I202,",","|",LEN(Stage!I202)-LEN(SUBSTITUTE(Stage!I202,",",""))))+1,100))))/2)</f>
        <v>0.3</v>
      </c>
      <c r="G177" s="119">
        <f>IF(ISERROR(FIND(",",Stage!J202)),VALUE(Stage!J202),VALUE(LEFT(Stage!J202,FIND(",",Stage!J202)-1)))</f>
        <v>34</v>
      </c>
      <c r="H177" s="119">
        <f>IF(Stage!K202="",0,LEN(TRIM(Stage!K202))-LEN(SUBSTITUTE(TRIM(Stage!K202),",",""))+1)</f>
        <v>4</v>
      </c>
      <c r="I177" s="119">
        <f>Stage!O202+Stage!P202+Stage!N202+Stage!Q202+Stage!M202</f>
        <v>4</v>
      </c>
      <c r="J177" s="119">
        <f>IF(Stage!F202=0,0,I177/Stage!F202)</f>
        <v>2.3529411764705882E-2</v>
      </c>
      <c r="K177" s="120">
        <f t="shared" si="6"/>
        <v>44.480803254859552</v>
      </c>
      <c r="L177" s="120">
        <f t="shared" si="8"/>
        <v>41.599983937301502</v>
      </c>
      <c r="M177" s="119" t="str">
        <f t="shared" si="7"/>
        <v>보통</v>
      </c>
    </row>
    <row r="178" spans="1:13" ht="15.95" customHeight="1" x14ac:dyDescent="0.3">
      <c r="A178" s="117">
        <v>165</v>
      </c>
      <c r="B178" s="117" t="str">
        <f>Stage!C203</f>
        <v>N 165</v>
      </c>
      <c r="C178" s="117">
        <f>Stage!F203</f>
        <v>165</v>
      </c>
      <c r="D178" s="117">
        <f>IF(Stage!G203="",0,LEN(TRIM(Stage!G203))-LEN(SUBSTITUTE(TRIM(Stage!G203),",",""))+1)</f>
        <v>3</v>
      </c>
      <c r="E178" s="117">
        <f>IF(ISERROR(FIND(",",Stage!H203)),VALUE(Stage!H203),(VALUE(LEFT(Stage!H203,FIND(",",Stage!H203)-1))+VALUE(TRIM(MID(Stage!H203,FIND("|",SUBSTITUTE(Stage!H203,",","|",LEN(Stage!H203)-LEN(SUBSTITUTE(Stage!H203,",",""))))+1,100))))/2)</f>
        <v>2.5</v>
      </c>
      <c r="F178" s="117">
        <f>IF(ISERROR(FIND(",",Stage!I203)),VALUE(Stage!I203),(VALUE(LEFT(Stage!I203,FIND(",",Stage!I203)-1))+VALUE(TRIM(MID(Stage!I203,FIND("|",SUBSTITUTE(Stage!I203,",","|",LEN(Stage!I203)-LEN(SUBSTITUTE(Stage!I203,",",""))))+1,100))))/2)</f>
        <v>0.3</v>
      </c>
      <c r="G178" s="117">
        <f>IF(ISERROR(FIND(",",Stage!J203)),VALUE(Stage!J203),VALUE(LEFT(Stage!J203,FIND(",",Stage!J203)-1)))</f>
        <v>33</v>
      </c>
      <c r="H178" s="117">
        <f>IF(Stage!K203="",0,LEN(TRIM(Stage!K203))-LEN(SUBSTITUTE(TRIM(Stage!K203),",",""))+1)</f>
        <v>4</v>
      </c>
      <c r="I178" s="117">
        <f>Stage!O203+Stage!P203+Stage!N203+Stage!Q203+Stage!M203</f>
        <v>3</v>
      </c>
      <c r="J178" s="117">
        <f>IF(Stage!F203=0,0,I178/Stage!F203)</f>
        <v>1.8181818181818181E-2</v>
      </c>
      <c r="K178" s="118">
        <f t="shared" si="6"/>
        <v>41.845160726573674</v>
      </c>
      <c r="L178" s="118">
        <f t="shared" si="8"/>
        <v>41.470351192698196</v>
      </c>
      <c r="M178" s="117" t="str">
        <f t="shared" si="7"/>
        <v>보통</v>
      </c>
    </row>
    <row r="179" spans="1:13" ht="15.95" customHeight="1" x14ac:dyDescent="0.3">
      <c r="A179" s="119">
        <v>166</v>
      </c>
      <c r="B179" s="119" t="str">
        <f>Stage!C204</f>
        <v>N 166</v>
      </c>
      <c r="C179" s="119">
        <f>Stage!F204</f>
        <v>135</v>
      </c>
      <c r="D179" s="119">
        <f>IF(Stage!G204="",0,LEN(TRIM(Stage!G204))-LEN(SUBSTITUTE(TRIM(Stage!G204),",",""))+1)</f>
        <v>3</v>
      </c>
      <c r="E179" s="119">
        <f>IF(ISERROR(FIND(",",Stage!H204)),VALUE(Stage!H204),(VALUE(LEFT(Stage!H204,FIND(",",Stage!H204)-1))+VALUE(TRIM(MID(Stage!H204,FIND("|",SUBSTITUTE(Stage!H204,",","|",LEN(Stage!H204)-LEN(SUBSTITUTE(Stage!H204,",",""))))+1,100))))/2)</f>
        <v>2.5</v>
      </c>
      <c r="F179" s="119">
        <f>IF(ISERROR(FIND(",",Stage!I204)),VALUE(Stage!I204),(VALUE(LEFT(Stage!I204,FIND(",",Stage!I204)-1))+VALUE(TRIM(MID(Stage!I204,FIND("|",SUBSTITUTE(Stage!I204,",","|",LEN(Stage!I204)-LEN(SUBSTITUTE(Stage!I204,",",""))))+1,100))))/2)</f>
        <v>0.4</v>
      </c>
      <c r="G179" s="119">
        <f>IF(ISERROR(FIND(",",Stage!J204)),VALUE(Stage!J204),VALUE(LEFT(Stage!J204,FIND(",",Stage!J204)-1)))</f>
        <v>33</v>
      </c>
      <c r="H179" s="119">
        <f>IF(Stage!K204="",0,LEN(TRIM(Stage!K204))-LEN(SUBSTITUTE(TRIM(Stage!K204),",",""))+1)</f>
        <v>3</v>
      </c>
      <c r="I179" s="119">
        <f>Stage!O204+Stage!P204+Stage!N204+Stage!Q204+Stage!M204</f>
        <v>0</v>
      </c>
      <c r="J179" s="119">
        <f>IF(Stage!F204=0,0,I179/Stage!F204)</f>
        <v>0</v>
      </c>
      <c r="K179" s="120">
        <f t="shared" si="6"/>
        <v>35.356241739757294</v>
      </c>
      <c r="L179" s="120">
        <f t="shared" si="8"/>
        <v>41.214080996602405</v>
      </c>
      <c r="M179" s="119" t="str">
        <f t="shared" si="7"/>
        <v>보통</v>
      </c>
    </row>
    <row r="180" spans="1:13" ht="15.95" customHeight="1" x14ac:dyDescent="0.3">
      <c r="A180" s="117">
        <v>167</v>
      </c>
      <c r="B180" s="117" t="str">
        <f>Stage!C205</f>
        <v>N 167</v>
      </c>
      <c r="C180" s="117">
        <f>Stage!F205</f>
        <v>145</v>
      </c>
      <c r="D180" s="117">
        <f>IF(Stage!G205="",0,LEN(TRIM(Stage!G205))-LEN(SUBSTITUTE(TRIM(Stage!G205),",",""))+1)</f>
        <v>3</v>
      </c>
      <c r="E180" s="117">
        <f>IF(ISERROR(FIND(",",Stage!H205)),VALUE(Stage!H205),(VALUE(LEFT(Stage!H205,FIND(",",Stage!H205)-1))+VALUE(TRIM(MID(Stage!H205,FIND("|",SUBSTITUTE(Stage!H205,",","|",LEN(Stage!H205)-LEN(SUBSTITUTE(Stage!H205,",",""))))+1,100))))/2)</f>
        <v>2.5</v>
      </c>
      <c r="F180" s="117">
        <f>IF(ISERROR(FIND(",",Stage!I205)),VALUE(Stage!I205),(VALUE(LEFT(Stage!I205,FIND(",",Stage!I205)-1))+VALUE(TRIM(MID(Stage!I205,FIND("|",SUBSTITUTE(Stage!I205,",","|",LEN(Stage!I205)-LEN(SUBSTITUTE(Stage!I205,",",""))))+1,100))))/2)</f>
        <v>0.4</v>
      </c>
      <c r="G180" s="117">
        <f>IF(ISERROR(FIND(",",Stage!J205)),VALUE(Stage!J205),VALUE(LEFT(Stage!J205,FIND(",",Stage!J205)-1)))</f>
        <v>36</v>
      </c>
      <c r="H180" s="117">
        <f>IF(Stage!K205="",0,LEN(TRIM(Stage!K205))-LEN(SUBSTITUTE(TRIM(Stage!K205),",",""))+1)</f>
        <v>3</v>
      </c>
      <c r="I180" s="117">
        <f>Stage!O205+Stage!P205+Stage!N205+Stage!Q205+Stage!M205</f>
        <v>0</v>
      </c>
      <c r="J180" s="117">
        <f>IF(Stage!F205=0,0,I180/Stage!F205)</f>
        <v>0</v>
      </c>
      <c r="K180" s="118">
        <f t="shared" si="6"/>
        <v>36.19728463294485</v>
      </c>
      <c r="L180" s="118">
        <f t="shared" si="8"/>
        <v>39.389168693581951</v>
      </c>
      <c r="M180" s="117" t="str">
        <f t="shared" si="7"/>
        <v>보통</v>
      </c>
    </row>
    <row r="181" spans="1:13" ht="15.95" customHeight="1" x14ac:dyDescent="0.3">
      <c r="A181" s="119">
        <v>168</v>
      </c>
      <c r="B181" s="119" t="str">
        <f>Stage!C206</f>
        <v>N 168</v>
      </c>
      <c r="C181" s="119">
        <f>Stage!F206</f>
        <v>190</v>
      </c>
      <c r="D181" s="119">
        <f>IF(Stage!G206="",0,LEN(TRIM(Stage!G206))-LEN(SUBSTITUTE(TRIM(Stage!G206),",",""))+1)</f>
        <v>3</v>
      </c>
      <c r="E181" s="119">
        <f>IF(ISERROR(FIND(",",Stage!H206)),VALUE(Stage!H206),(VALUE(LEFT(Stage!H206,FIND(",",Stage!H206)-1))+VALUE(TRIM(MID(Stage!H206,FIND("|",SUBSTITUTE(Stage!H206,",","|",LEN(Stage!H206)-LEN(SUBSTITUTE(Stage!H206,",",""))))+1,100))))/2)</f>
        <v>3</v>
      </c>
      <c r="F181" s="119">
        <f>IF(ISERROR(FIND(",",Stage!I206)),VALUE(Stage!I206),(VALUE(LEFT(Stage!I206,FIND(",",Stage!I206)-1))+VALUE(TRIM(MID(Stage!I206,FIND("|",SUBSTITUTE(Stage!I206,",","|",LEN(Stage!I206)-LEN(SUBSTITUTE(Stage!I206,",",""))))+1,100))))/2)</f>
        <v>0.2</v>
      </c>
      <c r="G181" s="119">
        <f>IF(ISERROR(FIND(",",Stage!J206)),VALUE(Stage!J206),VALUE(LEFT(Stage!J206,FIND(",",Stage!J206)-1)))</f>
        <v>38</v>
      </c>
      <c r="H181" s="119">
        <f>IF(Stage!K206="",0,LEN(TRIM(Stage!K206))-LEN(SUBSTITUTE(TRIM(Stage!K206),",",""))+1)</f>
        <v>4</v>
      </c>
      <c r="I181" s="119">
        <f>Stage!O206+Stage!P206+Stage!N206+Stage!Q206+Stage!M206</f>
        <v>8</v>
      </c>
      <c r="J181" s="119">
        <f>IF(Stage!F206=0,0,I181/Stage!F206)</f>
        <v>4.2105263157894736E-2</v>
      </c>
      <c r="K181" s="120">
        <f t="shared" si="6"/>
        <v>48.190914628876648</v>
      </c>
      <c r="L181" s="120">
        <f t="shared" si="8"/>
        <v>38.389226219459495</v>
      </c>
      <c r="M181" s="119" t="str">
        <f t="shared" si="7"/>
        <v>어려움</v>
      </c>
    </row>
    <row r="182" spans="1:13" ht="15.95" customHeight="1" x14ac:dyDescent="0.3">
      <c r="A182" s="117">
        <v>169</v>
      </c>
      <c r="B182" s="117" t="str">
        <f>Stage!C207</f>
        <v>N 169</v>
      </c>
      <c r="C182" s="117">
        <f>Stage!F207</f>
        <v>135</v>
      </c>
      <c r="D182" s="117">
        <f>IF(Stage!G207="",0,LEN(TRIM(Stage!G207))-LEN(SUBSTITUTE(TRIM(Stage!G207),",",""))+1)</f>
        <v>3</v>
      </c>
      <c r="E182" s="117">
        <f>IF(ISERROR(FIND(",",Stage!H207)),VALUE(Stage!H207),(VALUE(LEFT(Stage!H207,FIND(",",Stage!H207)-1))+VALUE(TRIM(MID(Stage!H207,FIND("|",SUBSTITUTE(Stage!H207,",","|",LEN(Stage!H207)-LEN(SUBSTITUTE(Stage!H207,",",""))))+1,100))))/2)</f>
        <v>2.5</v>
      </c>
      <c r="F182" s="117">
        <f>IF(ISERROR(FIND(",",Stage!I207)),VALUE(Stage!I207),(VALUE(LEFT(Stage!I207,FIND(",",Stage!I207)-1))+VALUE(TRIM(MID(Stage!I207,FIND("|",SUBSTITUTE(Stage!I207,",","|",LEN(Stage!I207)-LEN(SUBSTITUTE(Stage!I207,",",""))))+1,100))))/2)</f>
        <v>0.4</v>
      </c>
      <c r="G182" s="117">
        <f>IF(ISERROR(FIND(",",Stage!J207)),VALUE(Stage!J207),VALUE(LEFT(Stage!J207,FIND(",",Stage!J207)-1)))</f>
        <v>33</v>
      </c>
      <c r="H182" s="117">
        <f>IF(Stage!K207="",0,LEN(TRIM(Stage!K207))-LEN(SUBSTITUTE(TRIM(Stage!K207),",",""))+1)</f>
        <v>3</v>
      </c>
      <c r="I182" s="117">
        <f>Stage!O207+Stage!P207+Stage!N207+Stage!Q207+Stage!M207</f>
        <v>0</v>
      </c>
      <c r="J182" s="117">
        <f>IF(Stage!F207=0,0,I182/Stage!F207)</f>
        <v>0</v>
      </c>
      <c r="K182" s="118">
        <f t="shared" si="6"/>
        <v>35.356241739757294</v>
      </c>
      <c r="L182" s="118">
        <f t="shared" si="8"/>
        <v>37.535767931182036</v>
      </c>
      <c r="M182" s="117" t="str">
        <f t="shared" si="7"/>
        <v>보통</v>
      </c>
    </row>
    <row r="183" spans="1:13" ht="15.95" customHeight="1" x14ac:dyDescent="0.3">
      <c r="A183" s="119">
        <v>170</v>
      </c>
      <c r="B183" s="119" t="str">
        <f>Stage!C208</f>
        <v>N 170</v>
      </c>
      <c r="C183" s="119">
        <f>Stage!F208</f>
        <v>150</v>
      </c>
      <c r="D183" s="119">
        <f>IF(Stage!G208="",0,LEN(TRIM(Stage!G208))-LEN(SUBSTITUTE(TRIM(Stage!G208),",",""))+1)</f>
        <v>3</v>
      </c>
      <c r="E183" s="119">
        <f>IF(ISERROR(FIND(",",Stage!H208)),VALUE(Stage!H208),(VALUE(LEFT(Stage!H208,FIND(",",Stage!H208)-1))+VALUE(TRIM(MID(Stage!H208,FIND("|",SUBSTITUTE(Stage!H208,",","|",LEN(Stage!H208)-LEN(SUBSTITUTE(Stage!H208,",",""))))+1,100))))/2)</f>
        <v>2.5</v>
      </c>
      <c r="F183" s="119">
        <f>IF(ISERROR(FIND(",",Stage!I208)),VALUE(Stage!I208),(VALUE(LEFT(Stage!I208,FIND(",",Stage!I208)-1))+VALUE(TRIM(MID(Stage!I208,FIND("|",SUBSTITUTE(Stage!I208,",","|",LEN(Stage!I208)-LEN(SUBSTITUTE(Stage!I208,",",""))))+1,100))))/2)</f>
        <v>0.4</v>
      </c>
      <c r="G183" s="119">
        <f>IF(ISERROR(FIND(",",Stage!J208)),VALUE(Stage!J208),VALUE(LEFT(Stage!J208,FIND(",",Stage!J208)-1)))</f>
        <v>37</v>
      </c>
      <c r="H183" s="119">
        <f>IF(Stage!K208="",0,LEN(TRIM(Stage!K208))-LEN(SUBSTITUTE(TRIM(Stage!K208),",",""))+1)</f>
        <v>3</v>
      </c>
      <c r="I183" s="119">
        <f>Stage!O208+Stage!P208+Stage!N208+Stage!Q208+Stage!M208</f>
        <v>1</v>
      </c>
      <c r="J183" s="119">
        <f>IF(Stage!F208=0,0,I183/Stage!F208)</f>
        <v>6.6666666666666671E-3</v>
      </c>
      <c r="K183" s="120">
        <f t="shared" si="6"/>
        <v>36.845448355961388</v>
      </c>
      <c r="L183" s="120">
        <f t="shared" si="8"/>
        <v>36.523112238122643</v>
      </c>
      <c r="M183" s="119" t="str">
        <f t="shared" si="7"/>
        <v>보통</v>
      </c>
    </row>
    <row r="184" spans="1:13" ht="15.95" customHeight="1" x14ac:dyDescent="0.3">
      <c r="A184" s="117">
        <v>171</v>
      </c>
      <c r="B184" s="117" t="str">
        <f>Stage!C209</f>
        <v>N 171</v>
      </c>
      <c r="C184" s="117">
        <f>Stage!F209</f>
        <v>125</v>
      </c>
      <c r="D184" s="117">
        <f>IF(Stage!G209="",0,LEN(TRIM(Stage!G209))-LEN(SUBSTITUTE(TRIM(Stage!G209),",",""))+1)</f>
        <v>3</v>
      </c>
      <c r="E184" s="117">
        <f>IF(ISERROR(FIND(",",Stage!H209)),VALUE(Stage!H209),(VALUE(LEFT(Stage!H209,FIND(",",Stage!H209)-1))+VALUE(TRIM(MID(Stage!H209,FIND("|",SUBSTITUTE(Stage!H209,",","|",LEN(Stage!H209)-LEN(SUBSTITUTE(Stage!H209,",",""))))+1,100))))/2)</f>
        <v>2</v>
      </c>
      <c r="F184" s="117">
        <f>IF(ISERROR(FIND(",",Stage!I209)),VALUE(Stage!I209),(VALUE(LEFT(Stage!I209,FIND(",",Stage!I209)-1))+VALUE(TRIM(MID(Stage!I209,FIND("|",SUBSTITUTE(Stage!I209,",","|",LEN(Stage!I209)-LEN(SUBSTITUTE(Stage!I209,",",""))))+1,100))))/2)</f>
        <v>0.5</v>
      </c>
      <c r="G184" s="117">
        <f>IF(ISERROR(FIND(",",Stage!J209)),VALUE(Stage!J209),VALUE(LEFT(Stage!J209,FIND(",",Stage!J209)-1)))</f>
        <v>31</v>
      </c>
      <c r="H184" s="117">
        <f>IF(Stage!K209="",0,LEN(TRIM(Stage!K209))-LEN(SUBSTITUTE(TRIM(Stage!K209),",",""))+1)</f>
        <v>3</v>
      </c>
      <c r="I184" s="117">
        <f>Stage!O209+Stage!P209+Stage!N209+Stage!Q209+Stage!M209</f>
        <v>0</v>
      </c>
      <c r="J184" s="117">
        <f>IF(Stage!F209=0,0,I184/Stage!F209)</f>
        <v>0</v>
      </c>
      <c r="K184" s="118">
        <f t="shared" si="6"/>
        <v>31.088950298369983</v>
      </c>
      <c r="L184" s="118">
        <f t="shared" si="8"/>
        <v>36.779382434218427</v>
      </c>
      <c r="M184" s="117" t="str">
        <f t="shared" si="7"/>
        <v>보통</v>
      </c>
    </row>
    <row r="185" spans="1:13" ht="15.95" customHeight="1" x14ac:dyDescent="0.3">
      <c r="A185" s="119">
        <v>172</v>
      </c>
      <c r="B185" s="119" t="str">
        <f>Stage!C210</f>
        <v>N 172</v>
      </c>
      <c r="C185" s="119">
        <f>Stage!F210</f>
        <v>110</v>
      </c>
      <c r="D185" s="119">
        <f>IF(Stage!G210="",0,LEN(TRIM(Stage!G210))-LEN(SUBSTITUTE(TRIM(Stage!G210),",",""))+1)</f>
        <v>3</v>
      </c>
      <c r="E185" s="119">
        <f>IF(ISERROR(FIND(",",Stage!H210)),VALUE(Stage!H210),(VALUE(LEFT(Stage!H210,FIND(",",Stage!H210)-1))+VALUE(TRIM(MID(Stage!H210,FIND("|",SUBSTITUTE(Stage!H210,",","|",LEN(Stage!H210)-LEN(SUBSTITUTE(Stage!H210,",",""))))+1,100))))/2)</f>
        <v>2</v>
      </c>
      <c r="F185" s="119">
        <f>IF(ISERROR(FIND(",",Stage!I210)),VALUE(Stage!I210),(VALUE(LEFT(Stage!I210,FIND(",",Stage!I210)-1))+VALUE(TRIM(MID(Stage!I210,FIND("|",SUBSTITUTE(Stage!I210,",","|",LEN(Stage!I210)-LEN(SUBSTITUTE(Stage!I210,",",""))))+1,100))))/2)</f>
        <v>0.5</v>
      </c>
      <c r="G185" s="119">
        <f>IF(ISERROR(FIND(",",Stage!J210)),VALUE(Stage!J210),VALUE(LEFT(Stage!J210,FIND(",",Stage!J210)-1)))</f>
        <v>27</v>
      </c>
      <c r="H185" s="119">
        <f>IF(Stage!K210="",0,LEN(TRIM(Stage!K210))-LEN(SUBSTITUTE(TRIM(Stage!K210),",",""))+1)</f>
        <v>3</v>
      </c>
      <c r="I185" s="119">
        <f>Stage!O210+Stage!P210+Stage!N210+Stage!Q210+Stage!M210</f>
        <v>0</v>
      </c>
      <c r="J185" s="119">
        <f>IF(Stage!F210=0,0,I185/Stage!F210)</f>
        <v>0</v>
      </c>
      <c r="K185" s="120">
        <f t="shared" si="6"/>
        <v>31.134006167647883</v>
      </c>
      <c r="L185" s="120">
        <f t="shared" si="8"/>
        <v>36.863486723537186</v>
      </c>
      <c r="M185" s="119" t="str">
        <f t="shared" si="7"/>
        <v>보통</v>
      </c>
    </row>
    <row r="186" spans="1:13" ht="15.95" customHeight="1" x14ac:dyDescent="0.3">
      <c r="A186" s="117">
        <v>173</v>
      </c>
      <c r="B186" s="117" t="str">
        <f>Stage!C211</f>
        <v>N 173</v>
      </c>
      <c r="C186" s="117">
        <f>Stage!F211</f>
        <v>200</v>
      </c>
      <c r="D186" s="117">
        <f>IF(Stage!G211="",0,LEN(TRIM(Stage!G211))-LEN(SUBSTITUTE(TRIM(Stage!G211),",",""))+1)</f>
        <v>3</v>
      </c>
      <c r="E186" s="117">
        <f>IF(ISERROR(FIND(",",Stage!H211)),VALUE(Stage!H211),(VALUE(LEFT(Stage!H211,FIND(",",Stage!H211)-1))+VALUE(TRIM(MID(Stage!H211,FIND("|",SUBSTITUTE(Stage!H211,",","|",LEN(Stage!H211)-LEN(SUBSTITUTE(Stage!H211,",",""))))+1,100))))/2)</f>
        <v>3</v>
      </c>
      <c r="F186" s="117">
        <f>IF(ISERROR(FIND(",",Stage!I211)),VALUE(Stage!I211),(VALUE(LEFT(Stage!I211,FIND(",",Stage!I211)-1))+VALUE(TRIM(MID(Stage!I211,FIND("|",SUBSTITUTE(Stage!I211,",","|",LEN(Stage!I211)-LEN(SUBSTITUTE(Stage!I211,",",""))))+1,100))))/2)</f>
        <v>0.2</v>
      </c>
      <c r="G186" s="117">
        <f>IF(ISERROR(FIND(",",Stage!J211)),VALUE(Stage!J211),VALUE(LEFT(Stage!J211,FIND(",",Stage!J211)-1)))</f>
        <v>40</v>
      </c>
      <c r="H186" s="117">
        <f>IF(Stage!K211="",0,LEN(TRIM(Stage!K211))-LEN(SUBSTITUTE(TRIM(Stage!K211),",",""))+1)</f>
        <v>4</v>
      </c>
      <c r="I186" s="117">
        <f>Stage!O211+Stage!P211+Stage!N211+Stage!Q211+Stage!M211</f>
        <v>11</v>
      </c>
      <c r="J186" s="117">
        <f>IF(Stage!F211=0,0,I186/Stage!F211)</f>
        <v>5.5E-2</v>
      </c>
      <c r="K186" s="118">
        <f t="shared" si="6"/>
        <v>49.472265609355603</v>
      </c>
      <c r="L186" s="118">
        <f t="shared" si="8"/>
        <v>37.863429197659642</v>
      </c>
      <c r="M186" s="117" t="str">
        <f t="shared" si="7"/>
        <v>어려움</v>
      </c>
    </row>
    <row r="187" spans="1:13" ht="15.95" customHeight="1" x14ac:dyDescent="0.3">
      <c r="A187" s="119">
        <v>174</v>
      </c>
      <c r="B187" s="119" t="str">
        <f>Stage!C212</f>
        <v>N 174</v>
      </c>
      <c r="C187" s="119">
        <f>Stage!F212</f>
        <v>140</v>
      </c>
      <c r="D187" s="119">
        <f>IF(Stage!G212="",0,LEN(TRIM(Stage!G212))-LEN(SUBSTITUTE(TRIM(Stage!G212),",",""))+1)</f>
        <v>3</v>
      </c>
      <c r="E187" s="119">
        <f>IF(ISERROR(FIND(",",Stage!H212)),VALUE(Stage!H212),(VALUE(LEFT(Stage!H212,FIND(",",Stage!H212)-1))+VALUE(TRIM(MID(Stage!H212,FIND("|",SUBSTITUTE(Stage!H212,",","|",LEN(Stage!H212)-LEN(SUBSTITUTE(Stage!H212,",",""))))+1,100))))/2)</f>
        <v>2.5</v>
      </c>
      <c r="F187" s="119">
        <f>IF(ISERROR(FIND(",",Stage!I212)),VALUE(Stage!I212),(VALUE(LEFT(Stage!I212,FIND(",",Stage!I212)-1))+VALUE(TRIM(MID(Stage!I212,FIND("|",SUBSTITUTE(Stage!I212,",","|",LEN(Stage!I212)-LEN(SUBSTITUTE(Stage!I212,",",""))))+1,100))))/2)</f>
        <v>0.4</v>
      </c>
      <c r="G187" s="119">
        <f>IF(ISERROR(FIND(",",Stage!J212)),VALUE(Stage!J212),VALUE(LEFT(Stage!J212,FIND(",",Stage!J212)-1)))</f>
        <v>35</v>
      </c>
      <c r="H187" s="119">
        <f>IF(Stage!K212="",0,LEN(TRIM(Stage!K212))-LEN(SUBSTITUTE(TRIM(Stage!K212),",",""))+1)</f>
        <v>3</v>
      </c>
      <c r="I187" s="119">
        <f>Stage!O212+Stage!P212+Stage!N212+Stage!Q212+Stage!M212</f>
        <v>0</v>
      </c>
      <c r="J187" s="119">
        <f>IF(Stage!F212=0,0,I187/Stage!F212)</f>
        <v>0</v>
      </c>
      <c r="K187" s="120">
        <f t="shared" si="6"/>
        <v>35.776763186351076</v>
      </c>
      <c r="L187" s="120">
        <f t="shared" si="8"/>
        <v>38.885096064574618</v>
      </c>
      <c r="M187" s="119" t="str">
        <f t="shared" si="7"/>
        <v>보통</v>
      </c>
    </row>
    <row r="188" spans="1:13" ht="15.95" customHeight="1" x14ac:dyDescent="0.3">
      <c r="A188" s="117">
        <v>175</v>
      </c>
      <c r="B188" s="117" t="str">
        <f>Stage!C213</f>
        <v>N 175</v>
      </c>
      <c r="C188" s="117">
        <f>Stage!F213</f>
        <v>165</v>
      </c>
      <c r="D188" s="117">
        <f>IF(Stage!G213="",0,LEN(TRIM(Stage!G213))-LEN(SUBSTITUTE(TRIM(Stage!G213),",",""))+1)</f>
        <v>3</v>
      </c>
      <c r="E188" s="117">
        <f>IF(ISERROR(FIND(",",Stage!H213)),VALUE(Stage!H213),(VALUE(LEFT(Stage!H213,FIND(",",Stage!H213)-1))+VALUE(TRIM(MID(Stage!H213,FIND("|",SUBSTITUTE(Stage!H213,",","|",LEN(Stage!H213)-LEN(SUBSTITUTE(Stage!H213,",",""))))+1,100))))/2)</f>
        <v>2.5</v>
      </c>
      <c r="F188" s="117">
        <f>IF(ISERROR(FIND(",",Stage!I213)),VALUE(Stage!I213),(VALUE(LEFT(Stage!I213,FIND(",",Stage!I213)-1))+VALUE(TRIM(MID(Stage!I213,FIND("|",SUBSTITUTE(Stage!I213,",","|",LEN(Stage!I213)-LEN(SUBSTITUTE(Stage!I213,",",""))))+1,100))))/2)</f>
        <v>0.3</v>
      </c>
      <c r="G188" s="117">
        <f>IF(ISERROR(FIND(",",Stage!J213)),VALUE(Stage!J213),VALUE(LEFT(Stage!J213,FIND(",",Stage!J213)-1)))</f>
        <v>33</v>
      </c>
      <c r="H188" s="117">
        <f>IF(Stage!K213="",0,LEN(TRIM(Stage!K213))-LEN(SUBSTITUTE(TRIM(Stage!K213),",",""))+1)</f>
        <v>4</v>
      </c>
      <c r="I188" s="117">
        <f>Stage!O213+Stage!P213+Stage!N213+Stage!Q213+Stage!M213</f>
        <v>3</v>
      </c>
      <c r="J188" s="117">
        <f>IF(Stage!F213=0,0,I188/Stage!F213)</f>
        <v>1.8181818181818181E-2</v>
      </c>
      <c r="K188" s="118">
        <f t="shared" si="6"/>
        <v>41.845160726573674</v>
      </c>
      <c r="L188" s="118">
        <f t="shared" si="8"/>
        <v>40.904420026287134</v>
      </c>
      <c r="M188" s="117" t="str">
        <f t="shared" si="7"/>
        <v>보통</v>
      </c>
    </row>
    <row r="189" spans="1:13" ht="15.95" customHeight="1" x14ac:dyDescent="0.3">
      <c r="A189" s="119">
        <v>176</v>
      </c>
      <c r="B189" s="119" t="str">
        <f>Stage!C214</f>
        <v>N 176</v>
      </c>
      <c r="C189" s="119">
        <f>Stage!F214</f>
        <v>145</v>
      </c>
      <c r="D189" s="119">
        <f>IF(Stage!G214="",0,LEN(TRIM(Stage!G214))-LEN(SUBSTITUTE(TRIM(Stage!G214),",",""))+1)</f>
        <v>3</v>
      </c>
      <c r="E189" s="119">
        <f>IF(ISERROR(FIND(",",Stage!H214)),VALUE(Stage!H214),(VALUE(LEFT(Stage!H214,FIND(",",Stage!H214)-1))+VALUE(TRIM(MID(Stage!H214,FIND("|",SUBSTITUTE(Stage!H214,",","|",LEN(Stage!H214)-LEN(SUBSTITUTE(Stage!H214,",",""))))+1,100))))/2)</f>
        <v>2.5</v>
      </c>
      <c r="F189" s="119">
        <f>IF(ISERROR(FIND(",",Stage!I214)),VALUE(Stage!I214),(VALUE(LEFT(Stage!I214,FIND(",",Stage!I214)-1))+VALUE(TRIM(MID(Stage!I214,FIND("|",SUBSTITUTE(Stage!I214,",","|",LEN(Stage!I214)-LEN(SUBSTITUTE(Stage!I214,",",""))))+1,100))))/2)</f>
        <v>0.4</v>
      </c>
      <c r="G189" s="119">
        <f>IF(ISERROR(FIND(",",Stage!J214)),VALUE(Stage!J214),VALUE(LEFT(Stage!J214,FIND(",",Stage!J214)-1)))</f>
        <v>36</v>
      </c>
      <c r="H189" s="119">
        <f>IF(Stage!K214="",0,LEN(TRIM(Stage!K214))-LEN(SUBSTITUTE(TRIM(Stage!K214),",",""))+1)</f>
        <v>3</v>
      </c>
      <c r="I189" s="119">
        <f>Stage!O214+Stage!P214+Stage!N214+Stage!Q214+Stage!M214</f>
        <v>0</v>
      </c>
      <c r="J189" s="119">
        <f>IF(Stage!F214=0,0,I189/Stage!F214)</f>
        <v>0</v>
      </c>
      <c r="K189" s="120">
        <f t="shared" si="6"/>
        <v>36.19728463294485</v>
      </c>
      <c r="L189" s="120">
        <f t="shared" si="8"/>
        <v>38.249423831004989</v>
      </c>
      <c r="M189" s="119" t="str">
        <f t="shared" si="7"/>
        <v>보통</v>
      </c>
    </row>
    <row r="190" spans="1:13" ht="15.95" customHeight="1" x14ac:dyDescent="0.3">
      <c r="A190" s="117">
        <v>177</v>
      </c>
      <c r="B190" s="117" t="str">
        <f>Stage!C215</f>
        <v>N 177</v>
      </c>
      <c r="C190" s="117">
        <f>Stage!F215</f>
        <v>160</v>
      </c>
      <c r="D190" s="117">
        <f>IF(Stage!G215="",0,LEN(TRIM(Stage!G215))-LEN(SUBSTITUTE(TRIM(Stage!G215),",",""))+1)</f>
        <v>3</v>
      </c>
      <c r="E190" s="117">
        <f>IF(ISERROR(FIND(",",Stage!H215)),VALUE(Stage!H215),(VALUE(LEFT(Stage!H215,FIND(",",Stage!H215)-1))+VALUE(TRIM(MID(Stage!H215,FIND("|",SUBSTITUTE(Stage!H215,",","|",LEN(Stage!H215)-LEN(SUBSTITUTE(Stage!H215,",",""))))+1,100))))/2)</f>
        <v>2.5</v>
      </c>
      <c r="F190" s="117">
        <f>IF(ISERROR(FIND(",",Stage!I215)),VALUE(Stage!I215),(VALUE(LEFT(Stage!I215,FIND(",",Stage!I215)-1))+VALUE(TRIM(MID(Stage!I215,FIND("|",SUBSTITUTE(Stage!I215,",","|",LEN(Stage!I215)-LEN(SUBSTITUTE(Stage!I215,",",""))))+1,100))))/2)</f>
        <v>0.3</v>
      </c>
      <c r="G190" s="117">
        <f>IF(ISERROR(FIND(",",Stage!J215)),VALUE(Stage!J215),VALUE(LEFT(Stage!J215,FIND(",",Stage!J215)-1)))</f>
        <v>32</v>
      </c>
      <c r="H190" s="117">
        <f>IF(Stage!K215="",0,LEN(TRIM(Stage!K215))-LEN(SUBSTITUTE(TRIM(Stage!K215),",",""))+1)</f>
        <v>4</v>
      </c>
      <c r="I190" s="117">
        <f>Stage!O215+Stage!P215+Stage!N215+Stage!Q215+Stage!M215</f>
        <v>2</v>
      </c>
      <c r="J190" s="117">
        <f>IF(Stage!F215=0,0,I190/Stage!F215)</f>
        <v>1.2500000000000001E-2</v>
      </c>
      <c r="K190" s="118">
        <f t="shared" si="6"/>
        <v>41.230625976210497</v>
      </c>
      <c r="L190" s="118">
        <f t="shared" si="8"/>
        <v>40.030404011134223</v>
      </c>
      <c r="M190" s="117" t="str">
        <f t="shared" si="7"/>
        <v>보통</v>
      </c>
    </row>
    <row r="191" spans="1:13" ht="15.95" customHeight="1" x14ac:dyDescent="0.3">
      <c r="A191" s="119">
        <v>178</v>
      </c>
      <c r="B191" s="119" t="str">
        <f>Stage!C216</f>
        <v>N 178</v>
      </c>
      <c r="C191" s="119">
        <f>Stage!F216</f>
        <v>145</v>
      </c>
      <c r="D191" s="119">
        <f>IF(Stage!G216="",0,LEN(TRIM(Stage!G216))-LEN(SUBSTITUTE(TRIM(Stage!G216),",",""))+1)</f>
        <v>3</v>
      </c>
      <c r="E191" s="119">
        <f>IF(ISERROR(FIND(",",Stage!H216)),VALUE(Stage!H216),(VALUE(LEFT(Stage!H216,FIND(",",Stage!H216)-1))+VALUE(TRIM(MID(Stage!H216,FIND("|",SUBSTITUTE(Stage!H216,",","|",LEN(Stage!H216)-LEN(SUBSTITUTE(Stage!H216,",",""))))+1,100))))/2)</f>
        <v>2.5</v>
      </c>
      <c r="F191" s="119">
        <f>IF(ISERROR(FIND(",",Stage!I216)),VALUE(Stage!I216),(VALUE(LEFT(Stage!I216,FIND(",",Stage!I216)-1))+VALUE(TRIM(MID(Stage!I216,FIND("|",SUBSTITUTE(Stage!I216,",","|",LEN(Stage!I216)-LEN(SUBSTITUTE(Stage!I216,",",""))))+1,100))))/2)</f>
        <v>0.4</v>
      </c>
      <c r="G191" s="119">
        <f>IF(ISERROR(FIND(",",Stage!J216)),VALUE(Stage!J216),VALUE(LEFT(Stage!J216,FIND(",",Stage!J216)-1)))</f>
        <v>36</v>
      </c>
      <c r="H191" s="119">
        <f>IF(Stage!K216="",0,LEN(TRIM(Stage!K216))-LEN(SUBSTITUTE(TRIM(Stage!K216),",",""))+1)</f>
        <v>3</v>
      </c>
      <c r="I191" s="119">
        <f>Stage!O216+Stage!P216+Stage!N216+Stage!Q216+Stage!M216</f>
        <v>0</v>
      </c>
      <c r="J191" s="119">
        <f>IF(Stage!F216=0,0,I191/Stage!F216)</f>
        <v>0</v>
      </c>
      <c r="K191" s="120">
        <f t="shared" si="6"/>
        <v>36.19728463294485</v>
      </c>
      <c r="L191" s="120">
        <f t="shared" si="8"/>
        <v>39.950179987890863</v>
      </c>
      <c r="M191" s="119" t="str">
        <f t="shared" si="7"/>
        <v>보통</v>
      </c>
    </row>
    <row r="192" spans="1:13" ht="15.95" customHeight="1" x14ac:dyDescent="0.3">
      <c r="A192" s="117">
        <v>179</v>
      </c>
      <c r="B192" s="117" t="str">
        <f>Stage!C217</f>
        <v>N 179</v>
      </c>
      <c r="C192" s="117">
        <f>Stage!F217</f>
        <v>170</v>
      </c>
      <c r="D192" s="117">
        <f>IF(Stage!G217="",0,LEN(TRIM(Stage!G217))-LEN(SUBSTITUTE(TRIM(Stage!G217),",",""))+1)</f>
        <v>3</v>
      </c>
      <c r="E192" s="117">
        <f>IF(ISERROR(FIND(",",Stage!H217)),VALUE(Stage!H217),(VALUE(LEFT(Stage!H217,FIND(",",Stage!H217)-1))+VALUE(TRIM(MID(Stage!H217,FIND("|",SUBSTITUTE(Stage!H217,",","|",LEN(Stage!H217)-LEN(SUBSTITUTE(Stage!H217,",",""))))+1,100))))/2)</f>
        <v>3</v>
      </c>
      <c r="F192" s="117">
        <f>IF(ISERROR(FIND(",",Stage!I217)),VALUE(Stage!I217),(VALUE(LEFT(Stage!I217,FIND(",",Stage!I217)-1))+VALUE(TRIM(MID(Stage!I217,FIND("|",SUBSTITUTE(Stage!I217,",","|",LEN(Stage!I217)-LEN(SUBSTITUTE(Stage!I217,",",""))))+1,100))))/2)</f>
        <v>0.3</v>
      </c>
      <c r="G192" s="117">
        <f>IF(ISERROR(FIND(",",Stage!J217)),VALUE(Stage!J217),VALUE(LEFT(Stage!J217,FIND(",",Stage!J217)-1)))</f>
        <v>34</v>
      </c>
      <c r="H192" s="117">
        <f>IF(Stage!K217="",0,LEN(TRIM(Stage!K217))-LEN(SUBSTITUTE(TRIM(Stage!K217),",",""))+1)</f>
        <v>4</v>
      </c>
      <c r="I192" s="117">
        <f>Stage!O217+Stage!P217+Stage!N217+Stage!Q217+Stage!M217</f>
        <v>5</v>
      </c>
      <c r="J192" s="117">
        <f>IF(Stage!F217=0,0,I192/Stage!F217)</f>
        <v>2.9411764705882353E-2</v>
      </c>
      <c r="K192" s="118">
        <f t="shared" si="6"/>
        <v>44.68166408699728</v>
      </c>
      <c r="L192" s="118">
        <f t="shared" si="8"/>
        <v>38.764870203758541</v>
      </c>
      <c r="M192" s="117" t="str">
        <f t="shared" si="7"/>
        <v>보통</v>
      </c>
    </row>
    <row r="193" spans="1:13" ht="15.95" customHeight="1" x14ac:dyDescent="0.3">
      <c r="A193" s="119">
        <v>180</v>
      </c>
      <c r="B193" s="119" t="str">
        <f>Stage!C218</f>
        <v>N 180</v>
      </c>
      <c r="C193" s="119">
        <f>Stage!F218</f>
        <v>160</v>
      </c>
      <c r="D193" s="119">
        <f>IF(Stage!G218="",0,LEN(TRIM(Stage!G218))-LEN(SUBSTITUTE(TRIM(Stage!G218),",",""))+1)</f>
        <v>3</v>
      </c>
      <c r="E193" s="119">
        <f>IF(ISERROR(FIND(",",Stage!H218)),VALUE(Stage!H218),(VALUE(LEFT(Stage!H218,FIND(",",Stage!H218)-1))+VALUE(TRIM(MID(Stage!H218,FIND("|",SUBSTITUTE(Stage!H218,",","|",LEN(Stage!H218)-LEN(SUBSTITUTE(Stage!H218,",",""))))+1,100))))/2)</f>
        <v>2.5</v>
      </c>
      <c r="F193" s="119">
        <f>IF(ISERROR(FIND(",",Stage!I218)),VALUE(Stage!I218),(VALUE(LEFT(Stage!I218,FIND(",",Stage!I218)-1))+VALUE(TRIM(MID(Stage!I218,FIND("|",SUBSTITUTE(Stage!I218,",","|",LEN(Stage!I218)-LEN(SUBSTITUTE(Stage!I218,",",""))))+1,100))))/2)</f>
        <v>0.3</v>
      </c>
      <c r="G193" s="119">
        <f>IF(ISERROR(FIND(",",Stage!J218)),VALUE(Stage!J218),VALUE(LEFT(Stage!J218,FIND(",",Stage!J218)-1)))</f>
        <v>32</v>
      </c>
      <c r="H193" s="119">
        <f>IF(Stage!K218="",0,LEN(TRIM(Stage!K218))-LEN(SUBSTITUTE(TRIM(Stage!K218),",",""))+1)</f>
        <v>4</v>
      </c>
      <c r="I193" s="119">
        <f>Stage!O218+Stage!P218+Stage!N218+Stage!Q218+Stage!M218</f>
        <v>3</v>
      </c>
      <c r="J193" s="119">
        <f>IF(Stage!F218=0,0,I193/Stage!F218)</f>
        <v>1.8749999999999999E-2</v>
      </c>
      <c r="K193" s="120">
        <f t="shared" si="6"/>
        <v>41.444040610356844</v>
      </c>
      <c r="L193" s="120">
        <f t="shared" si="8"/>
        <v>36.751553691283071</v>
      </c>
      <c r="M193" s="119" t="str">
        <f t="shared" si="7"/>
        <v>보통</v>
      </c>
    </row>
    <row r="194" spans="1:13" ht="15.95" customHeight="1" x14ac:dyDescent="0.3">
      <c r="A194" s="117">
        <v>181</v>
      </c>
      <c r="B194" s="117" t="str">
        <f>Stage!C219</f>
        <v>N 181</v>
      </c>
      <c r="C194" s="117">
        <f>Stage!F219</f>
        <v>90</v>
      </c>
      <c r="D194" s="117">
        <f>IF(Stage!G219="",0,LEN(TRIM(Stage!G219))-LEN(SUBSTITUTE(TRIM(Stage!G219),",",""))+1)</f>
        <v>2</v>
      </c>
      <c r="E194" s="117">
        <f>IF(ISERROR(FIND(",",Stage!H219)),VALUE(Stage!H219),(VALUE(LEFT(Stage!H219,FIND(",",Stage!H219)-1))+VALUE(TRIM(MID(Stage!H219,FIND("|",SUBSTITUTE(Stage!H219,",","|",LEN(Stage!H219)-LEN(SUBSTITUTE(Stage!H219,",",""))))+1,100))))/2)</f>
        <v>2</v>
      </c>
      <c r="F194" s="117">
        <f>IF(ISERROR(FIND(",",Stage!I219)),VALUE(Stage!I219),(VALUE(LEFT(Stage!I219,FIND(",",Stage!I219)-1))+VALUE(TRIM(MID(Stage!I219,FIND("|",SUBSTITUTE(Stage!I219,",","|",LEN(Stage!I219)-LEN(SUBSTITUTE(Stage!I219,",",""))))+1,100))))/2)</f>
        <v>0.6</v>
      </c>
      <c r="G194" s="117">
        <f>IF(ISERROR(FIND(",",Stage!J219)),VALUE(Stage!J219),VALUE(LEFT(Stage!J219,FIND(",",Stage!J219)-1)))</f>
        <v>18</v>
      </c>
      <c r="H194" s="117">
        <f>IF(Stage!K219="",0,LEN(TRIM(Stage!K219))-LEN(SUBSTITUTE(TRIM(Stage!K219),",",""))+1)</f>
        <v>4</v>
      </c>
      <c r="I194" s="117">
        <f>Stage!O219+Stage!P219+Stage!N219+Stage!Q219+Stage!M219</f>
        <v>0</v>
      </c>
      <c r="J194" s="117">
        <f>IF(Stage!F219=0,0,I194/Stage!F219)</f>
        <v>0</v>
      </c>
      <c r="K194" s="118">
        <f t="shared" si="6"/>
        <v>30.270735712283237</v>
      </c>
      <c r="L194" s="118">
        <f t="shared" si="8"/>
        <v>35.645782535049349</v>
      </c>
      <c r="M194" s="117" t="str">
        <f t="shared" si="7"/>
        <v>보통</v>
      </c>
    </row>
    <row r="195" spans="1:13" ht="15.95" customHeight="1" x14ac:dyDescent="0.3">
      <c r="A195" s="119">
        <v>182</v>
      </c>
      <c r="B195" s="119" t="str">
        <f>Stage!C220</f>
        <v>N 182</v>
      </c>
      <c r="C195" s="119">
        <f>Stage!F220</f>
        <v>100</v>
      </c>
      <c r="D195" s="119">
        <f>IF(Stage!G220="",0,LEN(TRIM(Stage!G220))-LEN(SUBSTITUTE(TRIM(Stage!G220),",",""))+1)</f>
        <v>3</v>
      </c>
      <c r="E195" s="119">
        <f>IF(ISERROR(FIND(",",Stage!H220)),VALUE(Stage!H220),(VALUE(LEFT(Stage!H220,FIND(",",Stage!H220)-1))+VALUE(TRIM(MID(Stage!H220,FIND("|",SUBSTITUTE(Stage!H220,",","|",LEN(Stage!H220)-LEN(SUBSTITUTE(Stage!H220,",",""))))+1,100))))/2)</f>
        <v>2</v>
      </c>
      <c r="F195" s="119">
        <f>IF(ISERROR(FIND(",",Stage!I220)),VALUE(Stage!I220),(VALUE(LEFT(Stage!I220,FIND(",",Stage!I220)-1))+VALUE(TRIM(MID(Stage!I220,FIND("|",SUBSTITUTE(Stage!I220,",","|",LEN(Stage!I220)-LEN(SUBSTITUTE(Stage!I220,",",""))))+1,100))))/2)</f>
        <v>0.5</v>
      </c>
      <c r="G195" s="119">
        <f>IF(ISERROR(FIND(",",Stage!J220)),VALUE(Stage!J220),VALUE(LEFT(Stage!J220,FIND(",",Stage!J220)-1)))</f>
        <v>25</v>
      </c>
      <c r="H195" s="119">
        <f>IF(Stage!K220="",0,LEN(TRIM(Stage!K220))-LEN(SUBSTITUTE(TRIM(Stage!K220),",",""))+1)</f>
        <v>3</v>
      </c>
      <c r="I195" s="119">
        <f>Stage!O220+Stage!P220+Stage!N220+Stage!Q220+Stage!M220</f>
        <v>0</v>
      </c>
      <c r="J195" s="119">
        <f>IF(Stage!F220=0,0,I195/Stage!F220)</f>
        <v>0</v>
      </c>
      <c r="K195" s="120">
        <f t="shared" si="6"/>
        <v>31.164043413833152</v>
      </c>
      <c r="L195" s="120">
        <f t="shared" si="8"/>
        <v>32.936250951179467</v>
      </c>
      <c r="M195" s="119" t="str">
        <f t="shared" si="7"/>
        <v>보통</v>
      </c>
    </row>
    <row r="196" spans="1:13" ht="15.95" customHeight="1" x14ac:dyDescent="0.3">
      <c r="A196" s="117">
        <v>183</v>
      </c>
      <c r="B196" s="117" t="str">
        <f>Stage!C221</f>
        <v>N 183</v>
      </c>
      <c r="C196" s="117">
        <f>Stage!F221</f>
        <v>120</v>
      </c>
      <c r="D196" s="117">
        <f>IF(Stage!G221="",0,LEN(TRIM(Stage!G221))-LEN(SUBSTITUTE(TRIM(Stage!G221),",",""))+1)</f>
        <v>3</v>
      </c>
      <c r="E196" s="117">
        <f>IF(ISERROR(FIND(",",Stage!H221)),VALUE(Stage!H221),(VALUE(LEFT(Stage!H221,FIND(",",Stage!H221)-1))+VALUE(TRIM(MID(Stage!H221,FIND("|",SUBSTITUTE(Stage!H221,",","|",LEN(Stage!H221)-LEN(SUBSTITUTE(Stage!H221,",",""))))+1,100))))/2)</f>
        <v>2</v>
      </c>
      <c r="F196" s="117">
        <f>IF(ISERROR(FIND(",",Stage!I221)),VALUE(Stage!I221),(VALUE(LEFT(Stage!I221,FIND(",",Stage!I221)-1))+VALUE(TRIM(MID(Stage!I221,FIND("|",SUBSTITUTE(Stage!I221,",","|",LEN(Stage!I221)-LEN(SUBSTITUTE(Stage!I221,",",""))))+1,100))))/2)</f>
        <v>0.5</v>
      </c>
      <c r="G196" s="117">
        <f>IF(ISERROR(FIND(",",Stage!J221)),VALUE(Stage!J221),VALUE(LEFT(Stage!J221,FIND(",",Stage!J221)-1)))</f>
        <v>30</v>
      </c>
      <c r="H196" s="117">
        <f>IF(Stage!K221="",0,LEN(TRIM(Stage!K221))-LEN(SUBSTITUTE(TRIM(Stage!K221),",",""))+1)</f>
        <v>3</v>
      </c>
      <c r="I196" s="117">
        <f>Stage!O221+Stage!P221+Stage!N221+Stage!Q221+Stage!M221</f>
        <v>0</v>
      </c>
      <c r="J196" s="117">
        <f>IF(Stage!F221=0,0,I196/Stage!F221)</f>
        <v>0</v>
      </c>
      <c r="K196" s="118">
        <f t="shared" si="6"/>
        <v>30.668428851776209</v>
      </c>
      <c r="L196" s="118">
        <f t="shared" si="8"/>
        <v>33.016474974422827</v>
      </c>
      <c r="M196" s="117" t="str">
        <f t="shared" si="7"/>
        <v>보통</v>
      </c>
    </row>
    <row r="197" spans="1:13" ht="15.95" customHeight="1" x14ac:dyDescent="0.3">
      <c r="A197" s="119">
        <v>184</v>
      </c>
      <c r="B197" s="119" t="str">
        <f>Stage!C222</f>
        <v>N 184</v>
      </c>
      <c r="C197" s="119">
        <f>Stage!F222</f>
        <v>110</v>
      </c>
      <c r="D197" s="119">
        <f>IF(Stage!G222="",0,LEN(TRIM(Stage!G222))-LEN(SUBSTITUTE(TRIM(Stage!G222),",",""))+1)</f>
        <v>3</v>
      </c>
      <c r="E197" s="119">
        <f>IF(ISERROR(FIND(",",Stage!H222)),VALUE(Stage!H222),(VALUE(LEFT(Stage!H222,FIND(",",Stage!H222)-1))+VALUE(TRIM(MID(Stage!H222,FIND("|",SUBSTITUTE(Stage!H222,",","|",LEN(Stage!H222)-LEN(SUBSTITUTE(Stage!H222,",",""))))+1,100))))/2)</f>
        <v>2</v>
      </c>
      <c r="F197" s="119">
        <f>IF(ISERROR(FIND(",",Stage!I222)),VALUE(Stage!I222),(VALUE(LEFT(Stage!I222,FIND(",",Stage!I222)-1))+VALUE(TRIM(MID(Stage!I222,FIND("|",SUBSTITUTE(Stage!I222,",","|",LEN(Stage!I222)-LEN(SUBSTITUTE(Stage!I222,",",""))))+1,100))))/2)</f>
        <v>0.5</v>
      </c>
      <c r="G197" s="119">
        <f>IF(ISERROR(FIND(",",Stage!J222)),VALUE(Stage!J222),VALUE(LEFT(Stage!J222,FIND(",",Stage!J222)-1)))</f>
        <v>27</v>
      </c>
      <c r="H197" s="119">
        <f>IF(Stage!K222="",0,LEN(TRIM(Stage!K222))-LEN(SUBSTITUTE(TRIM(Stage!K222),",",""))+1)</f>
        <v>3</v>
      </c>
      <c r="I197" s="119">
        <f>Stage!O222+Stage!P222+Stage!N222+Stage!Q222+Stage!M222</f>
        <v>0</v>
      </c>
      <c r="J197" s="119">
        <f>IF(Stage!F222=0,0,I197/Stage!F222)</f>
        <v>0</v>
      </c>
      <c r="K197" s="120">
        <f t="shared" si="6"/>
        <v>31.134006167647883</v>
      </c>
      <c r="L197" s="120">
        <f t="shared" si="8"/>
        <v>36.372396316887489</v>
      </c>
      <c r="M197" s="119" t="str">
        <f t="shared" si="7"/>
        <v>보통</v>
      </c>
    </row>
    <row r="198" spans="1:13" ht="15.95" customHeight="1" x14ac:dyDescent="0.3">
      <c r="A198" s="117">
        <v>185</v>
      </c>
      <c r="B198" s="117" t="str">
        <f>Stage!C223</f>
        <v>N 185</v>
      </c>
      <c r="C198" s="117">
        <f>Stage!F223</f>
        <v>165</v>
      </c>
      <c r="D198" s="117">
        <f>IF(Stage!G223="",0,LEN(TRIM(Stage!G223))-LEN(SUBSTITUTE(TRIM(Stage!G223),",",""))+1)</f>
        <v>3</v>
      </c>
      <c r="E198" s="117">
        <f>IF(ISERROR(FIND(",",Stage!H223)),VALUE(Stage!H223),(VALUE(LEFT(Stage!H223,FIND(",",Stage!H223)-1))+VALUE(TRIM(MID(Stage!H223,FIND("|",SUBSTITUTE(Stage!H223,",","|",LEN(Stage!H223)-LEN(SUBSTITUTE(Stage!H223,",",""))))+1,100))))/2)</f>
        <v>2.5</v>
      </c>
      <c r="F198" s="117">
        <f>IF(ISERROR(FIND(",",Stage!I223)),VALUE(Stage!I223),(VALUE(LEFT(Stage!I223,FIND(",",Stage!I223)-1))+VALUE(TRIM(MID(Stage!I223,FIND("|",SUBSTITUTE(Stage!I223,",","|",LEN(Stage!I223)-LEN(SUBSTITUTE(Stage!I223,",",""))))+1,100))))/2)</f>
        <v>0.3</v>
      </c>
      <c r="G198" s="117">
        <f>IF(ISERROR(FIND(",",Stage!J223)),VALUE(Stage!J223),VALUE(LEFT(Stage!J223,FIND(",",Stage!J223)-1)))</f>
        <v>33</v>
      </c>
      <c r="H198" s="117">
        <f>IF(Stage!K223="",0,LEN(TRIM(Stage!K223))-LEN(SUBSTITUTE(TRIM(Stage!K223),",",""))+1)</f>
        <v>4</v>
      </c>
      <c r="I198" s="117">
        <f>Stage!O223+Stage!P223+Stage!N223+Stage!Q223+Stage!M223</f>
        <v>3</v>
      </c>
      <c r="J198" s="117">
        <f>IF(Stage!F223=0,0,I198/Stage!F223)</f>
        <v>1.8181818181818181E-2</v>
      </c>
      <c r="K198" s="118">
        <f t="shared" si="6"/>
        <v>41.845160726573674</v>
      </c>
      <c r="L198" s="118">
        <f t="shared" si="8"/>
        <v>37.126731692753559</v>
      </c>
      <c r="M198" s="117" t="str">
        <f t="shared" si="7"/>
        <v>보통</v>
      </c>
    </row>
    <row r="199" spans="1:13" ht="15.95" customHeight="1" x14ac:dyDescent="0.3">
      <c r="A199" s="119">
        <v>186</v>
      </c>
      <c r="B199" s="119" t="str">
        <f>Stage!C224</f>
        <v>N 186</v>
      </c>
      <c r="C199" s="119">
        <f>Stage!F224</f>
        <v>180</v>
      </c>
      <c r="D199" s="119">
        <f>IF(Stage!G224="",0,LEN(TRIM(Stage!G224))-LEN(SUBSTITUTE(TRIM(Stage!G224),",",""))+1)</f>
        <v>3</v>
      </c>
      <c r="E199" s="119">
        <f>IF(ISERROR(FIND(",",Stage!H224)),VALUE(Stage!H224),(VALUE(LEFT(Stage!H224,FIND(",",Stage!H224)-1))+VALUE(TRIM(MID(Stage!H224,FIND("|",SUBSTITUTE(Stage!H224,",","|",LEN(Stage!H224)-LEN(SUBSTITUTE(Stage!H224,",",""))))+1,100))))/2)</f>
        <v>3</v>
      </c>
      <c r="F199" s="119">
        <f>IF(ISERROR(FIND(",",Stage!I224)),VALUE(Stage!I224),(VALUE(LEFT(Stage!I224,FIND(",",Stage!I224)-1))+VALUE(TRIM(MID(Stage!I224,FIND("|",SUBSTITUTE(Stage!I224,",","|",LEN(Stage!I224)-LEN(SUBSTITUTE(Stage!I224,",",""))))+1,100))))/2)</f>
        <v>0.2</v>
      </c>
      <c r="G199" s="119">
        <f>IF(ISERROR(FIND(",",Stage!J224)),VALUE(Stage!J224),VALUE(LEFT(Stage!J224,FIND(",",Stage!J224)-1)))</f>
        <v>36</v>
      </c>
      <c r="H199" s="119">
        <f>IF(Stage!K224="",0,LEN(TRIM(Stage!K224))-LEN(SUBSTITUTE(TRIM(Stage!K224),",",""))+1)</f>
        <v>4</v>
      </c>
      <c r="I199" s="119">
        <f>Stage!O224+Stage!P224+Stage!N224+Stage!Q224+Stage!M224</f>
        <v>6</v>
      </c>
      <c r="J199" s="119">
        <f>IF(Stage!F224=0,0,I199/Stage!F224)</f>
        <v>3.3333333333333333E-2</v>
      </c>
      <c r="K199" s="120">
        <f t="shared" si="6"/>
        <v>47.050342424606512</v>
      </c>
      <c r="L199" s="120">
        <f t="shared" si="8"/>
        <v>37.047193064854966</v>
      </c>
      <c r="M199" s="119" t="str">
        <f t="shared" si="7"/>
        <v>어려움</v>
      </c>
    </row>
    <row r="200" spans="1:13" ht="15.95" customHeight="1" x14ac:dyDescent="0.3">
      <c r="A200" s="117">
        <v>187</v>
      </c>
      <c r="B200" s="117" t="str">
        <f>Stage!C225</f>
        <v>N 187</v>
      </c>
      <c r="C200" s="117">
        <f>Stage!F225</f>
        <v>130</v>
      </c>
      <c r="D200" s="117">
        <f>IF(Stage!G225="",0,LEN(TRIM(Stage!G225))-LEN(SUBSTITUTE(TRIM(Stage!G225),",",""))+1)</f>
        <v>3</v>
      </c>
      <c r="E200" s="117">
        <f>IF(ISERROR(FIND(",",Stage!H225)),VALUE(Stage!H225),(VALUE(LEFT(Stage!H225,FIND(",",Stage!H225)-1))+VALUE(TRIM(MID(Stage!H225,FIND("|",SUBSTITUTE(Stage!H225,",","|",LEN(Stage!H225)-LEN(SUBSTITUTE(Stage!H225,",",""))))+1,100))))/2)</f>
        <v>2.5</v>
      </c>
      <c r="F200" s="117">
        <f>IF(ISERROR(FIND(",",Stage!I225)),VALUE(Stage!I225),(VALUE(LEFT(Stage!I225,FIND(",",Stage!I225)-1))+VALUE(TRIM(MID(Stage!I225,FIND("|",SUBSTITUTE(Stage!I225,",","|",LEN(Stage!I225)-LEN(SUBSTITUTE(Stage!I225,",",""))))+1,100))))/2)</f>
        <v>0.4</v>
      </c>
      <c r="G200" s="117">
        <f>IF(ISERROR(FIND(",",Stage!J225)),VALUE(Stage!J225),VALUE(LEFT(Stage!J225,FIND(",",Stage!J225)-1)))</f>
        <v>32</v>
      </c>
      <c r="H200" s="117">
        <f>IF(Stage!K225="",0,LEN(TRIM(Stage!K225))-LEN(SUBSTITUTE(TRIM(Stage!K225),",",""))+1)</f>
        <v>3</v>
      </c>
      <c r="I200" s="117">
        <f>Stage!O225+Stage!P225+Stage!N225+Stage!Q225+Stage!M225</f>
        <v>0</v>
      </c>
      <c r="J200" s="117">
        <f>IF(Stage!F225=0,0,I200/Stage!F225)</f>
        <v>0</v>
      </c>
      <c r="K200" s="118">
        <f t="shared" si="6"/>
        <v>34.93572029316352</v>
      </c>
      <c r="L200" s="118">
        <f t="shared" si="8"/>
        <v>39.716552482297296</v>
      </c>
      <c r="M200" s="117" t="str">
        <f t="shared" si="7"/>
        <v>보통</v>
      </c>
    </row>
    <row r="201" spans="1:13" ht="15.95" customHeight="1" x14ac:dyDescent="0.3">
      <c r="A201" s="119">
        <v>188</v>
      </c>
      <c r="B201" s="119" t="str">
        <f>Stage!C226</f>
        <v>N 188</v>
      </c>
      <c r="C201" s="119">
        <f>Stage!F226</f>
        <v>90</v>
      </c>
      <c r="D201" s="119">
        <f>IF(Stage!G226="",0,LEN(TRIM(Stage!G226))-LEN(SUBSTITUTE(TRIM(Stage!G226),",",""))+1)</f>
        <v>2</v>
      </c>
      <c r="E201" s="119">
        <f>IF(ISERROR(FIND(",",Stage!H226)),VALUE(Stage!H226),(VALUE(LEFT(Stage!H226,FIND(",",Stage!H226)-1))+VALUE(TRIM(MID(Stage!H226,FIND("|",SUBSTITUTE(Stage!H226,",","|",LEN(Stage!H226)-LEN(SUBSTITUTE(Stage!H226,",",""))))+1,100))))/2)</f>
        <v>2</v>
      </c>
      <c r="F201" s="119">
        <f>IF(ISERROR(FIND(",",Stage!I226)),VALUE(Stage!I226),(VALUE(LEFT(Stage!I226,FIND(",",Stage!I226)-1))+VALUE(TRIM(MID(Stage!I226,FIND("|",SUBSTITUTE(Stage!I226,",","|",LEN(Stage!I226)-LEN(SUBSTITUTE(Stage!I226,",",""))))+1,100))))/2)</f>
        <v>0.6</v>
      </c>
      <c r="G201" s="119">
        <f>IF(ISERROR(FIND(",",Stage!J226)),VALUE(Stage!J226),VALUE(LEFT(Stage!J226,FIND(",",Stage!J226)-1)))</f>
        <v>18</v>
      </c>
      <c r="H201" s="119">
        <f>IF(Stage!K226="",0,LEN(TRIM(Stage!K226))-LEN(SUBSTITUTE(TRIM(Stage!K226),",",""))+1)</f>
        <v>4</v>
      </c>
      <c r="I201" s="119">
        <f>Stage!O226+Stage!P226+Stage!N226+Stage!Q226+Stage!M226</f>
        <v>0</v>
      </c>
      <c r="J201" s="119">
        <f>IF(Stage!F226=0,0,I201/Stage!F226)</f>
        <v>0</v>
      </c>
      <c r="K201" s="120">
        <f t="shared" si="6"/>
        <v>30.270735712283237</v>
      </c>
      <c r="L201" s="120">
        <f t="shared" si="8"/>
        <v>40.362218562782559</v>
      </c>
      <c r="M201" s="119" t="str">
        <f t="shared" si="7"/>
        <v>보통</v>
      </c>
    </row>
    <row r="202" spans="1:13" ht="15.95" customHeight="1" x14ac:dyDescent="0.3">
      <c r="A202" s="117">
        <v>189</v>
      </c>
      <c r="B202" s="117" t="str">
        <f>Stage!C227</f>
        <v>N 189</v>
      </c>
      <c r="C202" s="117">
        <f>Stage!F227</f>
        <v>170</v>
      </c>
      <c r="D202" s="117">
        <f>IF(Stage!G227="",0,LEN(TRIM(Stage!G227))-LEN(SUBSTITUTE(TRIM(Stage!G227),",",""))+1)</f>
        <v>3</v>
      </c>
      <c r="E202" s="117">
        <f>IF(ISERROR(FIND(",",Stage!H227)),VALUE(Stage!H227),(VALUE(LEFT(Stage!H227,FIND(",",Stage!H227)-1))+VALUE(TRIM(MID(Stage!H227,FIND("|",SUBSTITUTE(Stage!H227,",","|",LEN(Stage!H227)-LEN(SUBSTITUTE(Stage!H227,",",""))))+1,100))))/2)</f>
        <v>3</v>
      </c>
      <c r="F202" s="117">
        <f>IF(ISERROR(FIND(",",Stage!I227)),VALUE(Stage!I227),(VALUE(LEFT(Stage!I227,FIND(",",Stage!I227)-1))+VALUE(TRIM(MID(Stage!I227,FIND("|",SUBSTITUTE(Stage!I227,",","|",LEN(Stage!I227)-LEN(SUBSTITUTE(Stage!I227,",",""))))+1,100))))/2)</f>
        <v>0.3</v>
      </c>
      <c r="G202" s="117">
        <f>IF(ISERROR(FIND(",",Stage!J227)),VALUE(Stage!J227),VALUE(LEFT(Stage!J227,FIND(",",Stage!J227)-1)))</f>
        <v>34</v>
      </c>
      <c r="H202" s="117">
        <f>IF(Stage!K227="",0,LEN(TRIM(Stage!K227))-LEN(SUBSTITUTE(TRIM(Stage!K227),",",""))+1)</f>
        <v>4</v>
      </c>
      <c r="I202" s="117">
        <f>Stage!O227+Stage!P227+Stage!N227+Stage!Q227+Stage!M227</f>
        <v>4</v>
      </c>
      <c r="J202" s="117">
        <f>IF(Stage!F227=0,0,I202/Stage!F227)</f>
        <v>2.3529411764705882E-2</v>
      </c>
      <c r="K202" s="118">
        <f t="shared" si="6"/>
        <v>44.480803254859552</v>
      </c>
      <c r="L202" s="118">
        <f t="shared" si="8"/>
        <v>38.023398425812708</v>
      </c>
      <c r="M202" s="117" t="str">
        <f t="shared" si="7"/>
        <v>보통</v>
      </c>
    </row>
    <row r="203" spans="1:13" ht="15.95" customHeight="1" x14ac:dyDescent="0.3">
      <c r="A203" s="119">
        <v>190</v>
      </c>
      <c r="B203" s="119" t="str">
        <f>Stage!C228</f>
        <v>N 190</v>
      </c>
      <c r="C203" s="119">
        <f>Stage!F228</f>
        <v>175</v>
      </c>
      <c r="D203" s="119">
        <f>IF(Stage!G228="",0,LEN(TRIM(Stage!G228))-LEN(SUBSTITUTE(TRIM(Stage!G228),",",""))+1)</f>
        <v>3</v>
      </c>
      <c r="E203" s="119">
        <f>IF(ISERROR(FIND(",",Stage!H228)),VALUE(Stage!H228),(VALUE(LEFT(Stage!H228,FIND(",",Stage!H228)-1))+VALUE(TRIM(MID(Stage!H228,FIND("|",SUBSTITUTE(Stage!H228,",","|",LEN(Stage!H228)-LEN(SUBSTITUTE(Stage!H228,",",""))))+1,100))))/2)</f>
        <v>3</v>
      </c>
      <c r="F203" s="119">
        <f>IF(ISERROR(FIND(",",Stage!I228)),VALUE(Stage!I228),(VALUE(LEFT(Stage!I228,FIND(",",Stage!I228)-1))+VALUE(TRIM(MID(Stage!I228,FIND("|",SUBSTITUTE(Stage!I228,",","|",LEN(Stage!I228)-LEN(SUBSTITUTE(Stage!I228,",",""))))+1,100))))/2)</f>
        <v>0.3</v>
      </c>
      <c r="G203" s="119">
        <f>IF(ISERROR(FIND(",",Stage!J228)),VALUE(Stage!J228),VALUE(LEFT(Stage!J228,FIND(",",Stage!J228)-1)))</f>
        <v>35</v>
      </c>
      <c r="H203" s="119">
        <f>IF(Stage!K228="",0,LEN(TRIM(Stage!K228))-LEN(SUBSTITUTE(TRIM(Stage!K228),",",""))+1)</f>
        <v>4</v>
      </c>
      <c r="I203" s="119">
        <f>Stage!O228+Stage!P228+Stage!N228+Stage!Q228+Stage!M228</f>
        <v>5</v>
      </c>
      <c r="J203" s="119">
        <f>IF(Stage!F228=0,0,I203/Stage!F228)</f>
        <v>2.8571428571428571E-2</v>
      </c>
      <c r="K203" s="120">
        <f t="shared" si="6"/>
        <v>45.073491128999954</v>
      </c>
      <c r="L203" s="120">
        <f t="shared" si="8"/>
        <v>38.107502715131467</v>
      </c>
      <c r="M203" s="119" t="str">
        <f t="shared" si="7"/>
        <v>어려움</v>
      </c>
    </row>
    <row r="204" spans="1:13" ht="15.95" customHeight="1" x14ac:dyDescent="0.3">
      <c r="A204" s="117">
        <v>191</v>
      </c>
      <c r="B204" s="117" t="str">
        <f>Stage!C229</f>
        <v>N 191</v>
      </c>
      <c r="C204" s="117">
        <f>Stage!F229</f>
        <v>135</v>
      </c>
      <c r="D204" s="117">
        <f>IF(Stage!G229="",0,LEN(TRIM(Stage!G229))-LEN(SUBSTITUTE(TRIM(Stage!G229),",",""))+1)</f>
        <v>3</v>
      </c>
      <c r="E204" s="117">
        <f>IF(ISERROR(FIND(",",Stage!H229)),VALUE(Stage!H229),(VALUE(LEFT(Stage!H229,FIND(",",Stage!H229)-1))+VALUE(TRIM(MID(Stage!H229,FIND("|",SUBSTITUTE(Stage!H229,",","|",LEN(Stage!H229)-LEN(SUBSTITUTE(Stage!H229,",",""))))+1,100))))/2)</f>
        <v>2.5</v>
      </c>
      <c r="F204" s="117">
        <f>IF(ISERROR(FIND(",",Stage!I229)),VALUE(Stage!I229),(VALUE(LEFT(Stage!I229,FIND(",",Stage!I229)-1))+VALUE(TRIM(MID(Stage!I229,FIND("|",SUBSTITUTE(Stage!I229,",","|",LEN(Stage!I229)-LEN(SUBSTITUTE(Stage!I229,",",""))))+1,100))))/2)</f>
        <v>0.4</v>
      </c>
      <c r="G204" s="117">
        <f>IF(ISERROR(FIND(",",Stage!J229)),VALUE(Stage!J229),VALUE(LEFT(Stage!J229,FIND(",",Stage!J229)-1)))</f>
        <v>33</v>
      </c>
      <c r="H204" s="117">
        <f>IF(Stage!K229="",0,LEN(TRIM(Stage!K229))-LEN(SUBSTITUTE(TRIM(Stage!K229),",",""))+1)</f>
        <v>3</v>
      </c>
      <c r="I204" s="117">
        <f>Stage!O229+Stage!P229+Stage!N229+Stage!Q229+Stage!M229</f>
        <v>0</v>
      </c>
      <c r="J204" s="117">
        <f>IF(Stage!F229=0,0,I204/Stage!F229)</f>
        <v>0</v>
      </c>
      <c r="K204" s="118">
        <f t="shared" si="6"/>
        <v>35.356241739757294</v>
      </c>
      <c r="L204" s="118">
        <f t="shared" si="8"/>
        <v>41.947808694545941</v>
      </c>
      <c r="M204" s="117" t="str">
        <f t="shared" si="7"/>
        <v>보통</v>
      </c>
    </row>
    <row r="205" spans="1:13" ht="15.95" customHeight="1" x14ac:dyDescent="0.3">
      <c r="A205" s="119">
        <v>192</v>
      </c>
      <c r="B205" s="119" t="str">
        <f>Stage!C230</f>
        <v>N 192</v>
      </c>
      <c r="C205" s="119">
        <f>Stage!F230</f>
        <v>135</v>
      </c>
      <c r="D205" s="119">
        <f>IF(Stage!G230="",0,LEN(TRIM(Stage!G230))-LEN(SUBSTITUTE(TRIM(Stage!G230),",",""))+1)</f>
        <v>3</v>
      </c>
      <c r="E205" s="119">
        <f>IF(ISERROR(FIND(",",Stage!H230)),VALUE(Stage!H230),(VALUE(LEFT(Stage!H230,FIND(",",Stage!H230)-1))+VALUE(TRIM(MID(Stage!H230,FIND("|",SUBSTITUTE(Stage!H230,",","|",LEN(Stage!H230)-LEN(SUBSTITUTE(Stage!H230,",",""))))+1,100))))/2)</f>
        <v>2.5</v>
      </c>
      <c r="F205" s="119">
        <f>IF(ISERROR(FIND(",",Stage!I230)),VALUE(Stage!I230),(VALUE(LEFT(Stage!I230,FIND(",",Stage!I230)-1))+VALUE(TRIM(MID(Stage!I230,FIND("|",SUBSTITUTE(Stage!I230,",","|",LEN(Stage!I230)-LEN(SUBSTITUTE(Stage!I230,",",""))))+1,100))))/2)</f>
        <v>0.4</v>
      </c>
      <c r="G205" s="119">
        <f>IF(ISERROR(FIND(",",Stage!J230)),VALUE(Stage!J230),VALUE(LEFT(Stage!J230,FIND(",",Stage!J230)-1)))</f>
        <v>33</v>
      </c>
      <c r="H205" s="119">
        <f>IF(Stage!K230="",0,LEN(TRIM(Stage!K230))-LEN(SUBSTITUTE(TRIM(Stage!K230),",",""))+1)</f>
        <v>3</v>
      </c>
      <c r="I205" s="119">
        <f>Stage!O230+Stage!P230+Stage!N230+Stage!Q230+Stage!M230</f>
        <v>0</v>
      </c>
      <c r="J205" s="119">
        <f>IF(Stage!F230=0,0,I205/Stage!F230)</f>
        <v>0</v>
      </c>
      <c r="K205" s="120">
        <f t="shared" si="6"/>
        <v>35.356241739757294</v>
      </c>
      <c r="L205" s="120">
        <f t="shared" si="8"/>
        <v>41.947808694545941</v>
      </c>
      <c r="M205" s="119" t="str">
        <f t="shared" si="7"/>
        <v>보통</v>
      </c>
    </row>
    <row r="206" spans="1:13" ht="15.95" customHeight="1" x14ac:dyDescent="0.3">
      <c r="A206" s="117">
        <v>193</v>
      </c>
      <c r="B206" s="117" t="str">
        <f>Stage!C231</f>
        <v>N 193</v>
      </c>
      <c r="C206" s="117">
        <f>Stage!F231</f>
        <v>200</v>
      </c>
      <c r="D206" s="117">
        <f>IF(Stage!G231="",0,LEN(TRIM(Stage!G231))-LEN(SUBSTITUTE(TRIM(Stage!G231),",",""))+1)</f>
        <v>3</v>
      </c>
      <c r="E206" s="117">
        <f>IF(ISERROR(FIND(",",Stage!H231)),VALUE(Stage!H231),(VALUE(LEFT(Stage!H231,FIND(",",Stage!H231)-1))+VALUE(TRIM(MID(Stage!H231,FIND("|",SUBSTITUTE(Stage!H231,",","|",LEN(Stage!H231)-LEN(SUBSTITUTE(Stage!H231,",",""))))+1,100))))/2)</f>
        <v>3</v>
      </c>
      <c r="F206" s="117">
        <f>IF(ISERROR(FIND(",",Stage!I231)),VALUE(Stage!I231),(VALUE(LEFT(Stage!I231,FIND(",",Stage!I231)-1))+VALUE(TRIM(MID(Stage!I231,FIND("|",SUBSTITUTE(Stage!I231,",","|",LEN(Stage!I231)-LEN(SUBSTITUTE(Stage!I231,",",""))))+1,100))))/2)</f>
        <v>0.2</v>
      </c>
      <c r="G206" s="117">
        <f>IF(ISERROR(FIND(",",Stage!J231)),VALUE(Stage!J231),VALUE(LEFT(Stage!J231,FIND(",",Stage!J231)-1)))</f>
        <v>40</v>
      </c>
      <c r="H206" s="117">
        <f>IF(Stage!K231="",0,LEN(TRIM(Stage!K231))-LEN(SUBSTITUTE(TRIM(Stage!K231),",",""))+1)</f>
        <v>4</v>
      </c>
      <c r="I206" s="117">
        <f>Stage!O231+Stage!P231+Stage!N231+Stage!Q231+Stage!M231</f>
        <v>11</v>
      </c>
      <c r="J206" s="117">
        <f>IF(Stage!F231=0,0,I206/Stage!F231)</f>
        <v>5.5E-2</v>
      </c>
      <c r="K206" s="118">
        <f t="shared" ref="K206:K269" si="9">(MAX(0,MIN(1,(C206-$E$3)/MAX($F$3-$E$3,0.0001)))*$C$3+MAX(0,MIN(1,(D206-$E$4)/MAX($F$4-$E$4,0.0001)))*$C$4+MAX(0,MIN(1,(E206-$E$5)/MAX($F$5-$E$5,0.0001)))*$C$5+(1-MAX(0,MIN(1,(F206-$E$6)/MAX($F$6-$E$6,0.0001))))*$C$6+(1-MAX(0,MIN(1,(G206-$E$7)/MAX($F$7-$E$7,0.0001))))*$C$7+MAX(0,MIN(1,(H206-$E$8)/MAX($F$8-$E$8,0.0001)))*$C$8+MAX(0,MIN(1,(J206-$E$9)/MAX($F$9-$E$9,0.0001)))*$C$9)/$C$10*100</f>
        <v>49.472265609355603</v>
      </c>
      <c r="L206" s="118">
        <f t="shared" si="8"/>
        <v>38.254589102251501</v>
      </c>
      <c r="M206" s="117" t="str">
        <f t="shared" ref="M206:M269" si="10">IF(K206&lt;25,"쉬움",IF(K206&lt;45,"보통",IF(K206&lt;60,"어려움",IF(K206&lt;75,"매우어려움","극악"))))</f>
        <v>어려움</v>
      </c>
    </row>
    <row r="207" spans="1:13" ht="15.95" customHeight="1" x14ac:dyDescent="0.3">
      <c r="A207" s="119">
        <v>194</v>
      </c>
      <c r="B207" s="119" t="str">
        <f>Stage!C232</f>
        <v>N 194</v>
      </c>
      <c r="C207" s="119">
        <f>Stage!F232</f>
        <v>170</v>
      </c>
      <c r="D207" s="119">
        <f>IF(Stage!G232="",0,LEN(TRIM(Stage!G232))-LEN(SUBSTITUTE(TRIM(Stage!G232),",",""))+1)</f>
        <v>3</v>
      </c>
      <c r="E207" s="119">
        <f>IF(ISERROR(FIND(",",Stage!H232)),VALUE(Stage!H232),(VALUE(LEFT(Stage!H232,FIND(",",Stage!H232)-1))+VALUE(TRIM(MID(Stage!H232,FIND("|",SUBSTITUTE(Stage!H232,",","|",LEN(Stage!H232)-LEN(SUBSTITUTE(Stage!H232,",",""))))+1,100))))/2)</f>
        <v>3</v>
      </c>
      <c r="F207" s="119">
        <f>IF(ISERROR(FIND(",",Stage!I232)),VALUE(Stage!I232),(VALUE(LEFT(Stage!I232,FIND(",",Stage!I232)-1))+VALUE(TRIM(MID(Stage!I232,FIND("|",SUBSTITUTE(Stage!I232,",","|",LEN(Stage!I232)-LEN(SUBSTITUTE(Stage!I232,",",""))))+1,100))))/2)</f>
        <v>0.3</v>
      </c>
      <c r="G207" s="119">
        <f>IF(ISERROR(FIND(",",Stage!J232)),VALUE(Stage!J232),VALUE(LEFT(Stage!J232,FIND(",",Stage!J232)-1)))</f>
        <v>34</v>
      </c>
      <c r="H207" s="119">
        <f>IF(Stage!K232="",0,LEN(TRIM(Stage!K232))-LEN(SUBSTITUTE(TRIM(Stage!K232),",",""))+1)</f>
        <v>4</v>
      </c>
      <c r="I207" s="119">
        <f>Stage!O232+Stage!P232+Stage!N232+Stage!Q232+Stage!M232</f>
        <v>4</v>
      </c>
      <c r="J207" s="119">
        <f>IF(Stage!F232=0,0,I207/Stage!F232)</f>
        <v>2.3529411764705882E-2</v>
      </c>
      <c r="K207" s="120">
        <f t="shared" si="9"/>
        <v>44.480803254859552</v>
      </c>
      <c r="L207" s="120">
        <f t="shared" si="8"/>
        <v>38.254589102251501</v>
      </c>
      <c r="M207" s="119" t="str">
        <f t="shared" si="10"/>
        <v>보통</v>
      </c>
    </row>
    <row r="208" spans="1:13" ht="15.95" customHeight="1" x14ac:dyDescent="0.3">
      <c r="A208" s="117">
        <v>195</v>
      </c>
      <c r="B208" s="117" t="str">
        <f>Stage!C233</f>
        <v>N 195</v>
      </c>
      <c r="C208" s="117">
        <f>Stage!F233</f>
        <v>80</v>
      </c>
      <c r="D208" s="117">
        <f>IF(Stage!G233="",0,LEN(TRIM(Stage!G233))-LEN(SUBSTITUTE(TRIM(Stage!G233),",",""))+1)</f>
        <v>2</v>
      </c>
      <c r="E208" s="117">
        <f>IF(ISERROR(FIND(",",Stage!H233)),VALUE(Stage!H233),(VALUE(LEFT(Stage!H233,FIND(",",Stage!H233)-1))+VALUE(TRIM(MID(Stage!H233,FIND("|",SUBSTITUTE(Stage!H233,",","|",LEN(Stage!H233)-LEN(SUBSTITUTE(Stage!H233,",",""))))+1,100))))/2)</f>
        <v>2</v>
      </c>
      <c r="F208" s="117">
        <f>IF(ISERROR(FIND(",",Stage!I233)),VALUE(Stage!I233),(VALUE(LEFT(Stage!I233,FIND(",",Stage!I233)-1))+VALUE(TRIM(MID(Stage!I233,FIND("|",SUBSTITUTE(Stage!I233,",","|",LEN(Stage!I233)-LEN(SUBSTITUTE(Stage!I233,",",""))))+1,100))))/2)</f>
        <v>0.6</v>
      </c>
      <c r="G208" s="117">
        <f>IF(ISERROR(FIND(",",Stage!J233)),VALUE(Stage!J233),VALUE(LEFT(Stage!J233,FIND(",",Stage!J233)-1)))</f>
        <v>20</v>
      </c>
      <c r="H208" s="117">
        <f>IF(Stage!K233="",0,LEN(TRIM(Stage!K233))-LEN(SUBSTITUTE(TRIM(Stage!K233),",",""))+1)</f>
        <v>3</v>
      </c>
      <c r="I208" s="117">
        <f>Stage!O233+Stage!P233+Stage!N233+Stage!Q233+Stage!M233</f>
        <v>0</v>
      </c>
      <c r="J208" s="117">
        <f>IF(Stage!F233=0,0,I208/Stage!F233)</f>
        <v>0</v>
      </c>
      <c r="K208" s="118">
        <f t="shared" si="9"/>
        <v>26.607393167527732</v>
      </c>
      <c r="L208" s="118">
        <f t="shared" ref="L208:L271" si="11">AVERAGE(K206:K210)</f>
        <v>37.401130813974035</v>
      </c>
      <c r="M208" s="117" t="str">
        <f t="shared" si="10"/>
        <v>보통</v>
      </c>
    </row>
    <row r="209" spans="1:13" ht="15.95" customHeight="1" x14ac:dyDescent="0.3">
      <c r="A209" s="119">
        <v>196</v>
      </c>
      <c r="B209" s="119" t="str">
        <f>Stage!C234</f>
        <v>N 196</v>
      </c>
      <c r="C209" s="119">
        <f>Stage!F234</f>
        <v>135</v>
      </c>
      <c r="D209" s="119">
        <f>IF(Stage!G234="",0,LEN(TRIM(Stage!G234))-LEN(SUBSTITUTE(TRIM(Stage!G234),",",""))+1)</f>
        <v>3</v>
      </c>
      <c r="E209" s="119">
        <f>IF(ISERROR(FIND(",",Stage!H234)),VALUE(Stage!H234),(VALUE(LEFT(Stage!H234,FIND(",",Stage!H234)-1))+VALUE(TRIM(MID(Stage!H234,FIND("|",SUBSTITUTE(Stage!H234,",","|",LEN(Stage!H234)-LEN(SUBSTITUTE(Stage!H234,",",""))))+1,100))))/2)</f>
        <v>2.5</v>
      </c>
      <c r="F209" s="119">
        <f>IF(ISERROR(FIND(",",Stage!I234)),VALUE(Stage!I234),(VALUE(LEFT(Stage!I234,FIND(",",Stage!I234)-1))+VALUE(TRIM(MID(Stage!I234,FIND("|",SUBSTITUTE(Stage!I234,",","|",LEN(Stage!I234)-LEN(SUBSTITUTE(Stage!I234,",",""))))+1,100))))/2)</f>
        <v>0.4</v>
      </c>
      <c r="G209" s="119">
        <f>IF(ISERROR(FIND(",",Stage!J234)),VALUE(Stage!J234),VALUE(LEFT(Stage!J234,FIND(",",Stage!J234)-1)))</f>
        <v>33</v>
      </c>
      <c r="H209" s="119">
        <f>IF(Stage!K234="",0,LEN(TRIM(Stage!K234))-LEN(SUBSTITUTE(TRIM(Stage!K234),",",""))+1)</f>
        <v>3</v>
      </c>
      <c r="I209" s="119">
        <f>Stage!O234+Stage!P234+Stage!N234+Stage!Q234+Stage!M234</f>
        <v>0</v>
      </c>
      <c r="J209" s="119">
        <f>IF(Stage!F234=0,0,I209/Stage!F234)</f>
        <v>0</v>
      </c>
      <c r="K209" s="120">
        <f t="shared" si="9"/>
        <v>35.356241739757294</v>
      </c>
      <c r="L209" s="120">
        <f t="shared" si="11"/>
        <v>32.108263658701496</v>
      </c>
      <c r="M209" s="119" t="str">
        <f t="shared" si="10"/>
        <v>보통</v>
      </c>
    </row>
    <row r="210" spans="1:13" ht="15.95" customHeight="1" x14ac:dyDescent="0.3">
      <c r="A210" s="117">
        <v>197</v>
      </c>
      <c r="B210" s="117" t="str">
        <f>Stage!C235</f>
        <v>N 197</v>
      </c>
      <c r="C210" s="117">
        <f>Stage!F235</f>
        <v>125</v>
      </c>
      <c r="D210" s="117">
        <f>IF(Stage!G235="",0,LEN(TRIM(Stage!G235))-LEN(SUBSTITUTE(TRIM(Stage!G235),",",""))+1)</f>
        <v>3</v>
      </c>
      <c r="E210" s="117">
        <f>IF(ISERROR(FIND(",",Stage!H235)),VALUE(Stage!H235),(VALUE(LEFT(Stage!H235,FIND(",",Stage!H235)-1))+VALUE(TRIM(MID(Stage!H235,FIND("|",SUBSTITUTE(Stage!H235,",","|",LEN(Stage!H235)-LEN(SUBSTITUTE(Stage!H235,",",""))))+1,100))))/2)</f>
        <v>2</v>
      </c>
      <c r="F210" s="117">
        <f>IF(ISERROR(FIND(",",Stage!I235)),VALUE(Stage!I235),(VALUE(LEFT(Stage!I235,FIND(",",Stage!I235)-1))+VALUE(TRIM(MID(Stage!I235,FIND("|",SUBSTITUTE(Stage!I235,",","|",LEN(Stage!I235)-LEN(SUBSTITUTE(Stage!I235,",",""))))+1,100))))/2)</f>
        <v>0.5</v>
      </c>
      <c r="G210" s="117">
        <f>IF(ISERROR(FIND(",",Stage!J235)),VALUE(Stage!J235),VALUE(LEFT(Stage!J235,FIND(",",Stage!J235)-1)))</f>
        <v>31</v>
      </c>
      <c r="H210" s="117">
        <f>IF(Stage!K235="",0,LEN(TRIM(Stage!K235))-LEN(SUBSTITUTE(TRIM(Stage!K235),",",""))+1)</f>
        <v>3</v>
      </c>
      <c r="I210" s="117">
        <f>Stage!O235+Stage!P235+Stage!N235+Stage!Q235+Stage!M235</f>
        <v>0</v>
      </c>
      <c r="J210" s="117">
        <f>IF(Stage!F235=0,0,I210/Stage!F235)</f>
        <v>0</v>
      </c>
      <c r="K210" s="118">
        <f t="shared" si="9"/>
        <v>31.088950298369983</v>
      </c>
      <c r="L210" s="118">
        <f t="shared" si="11"/>
        <v>31.581135153044318</v>
      </c>
      <c r="M210" s="117" t="str">
        <f t="shared" si="10"/>
        <v>보통</v>
      </c>
    </row>
    <row r="211" spans="1:13" ht="15.95" customHeight="1" x14ac:dyDescent="0.3">
      <c r="A211" s="119">
        <v>198</v>
      </c>
      <c r="B211" s="119" t="str">
        <f>Stage!C236</f>
        <v>N 198</v>
      </c>
      <c r="C211" s="119">
        <f>Stage!F236</f>
        <v>70</v>
      </c>
      <c r="D211" s="119">
        <f>IF(Stage!G236="",0,LEN(TRIM(Stage!G236))-LEN(SUBSTITUTE(TRIM(Stage!G236),",",""))+1)</f>
        <v>2</v>
      </c>
      <c r="E211" s="119">
        <f>IF(ISERROR(FIND(",",Stage!H236)),VALUE(Stage!H236),(VALUE(LEFT(Stage!H236,FIND(",",Stage!H236)-1))+VALUE(TRIM(MID(Stage!H236,FIND("|",SUBSTITUTE(Stage!H236,",","|",LEN(Stage!H236)-LEN(SUBSTITUTE(Stage!H236,",",""))))+1,100))))/2)</f>
        <v>1</v>
      </c>
      <c r="F211" s="119">
        <f>IF(ISERROR(FIND(",",Stage!I236)),VALUE(Stage!I236),(VALUE(LEFT(Stage!I236,FIND(",",Stage!I236)-1))+VALUE(TRIM(MID(Stage!I236,FIND("|",SUBSTITUTE(Stage!I236,",","|",LEN(Stage!I236)-LEN(SUBSTITUTE(Stage!I236,",",""))))+1,100))))/2)</f>
        <v>0.6</v>
      </c>
      <c r="G211" s="119">
        <f>IF(ISERROR(FIND(",",Stage!J236)),VALUE(Stage!J236),VALUE(LEFT(Stage!J236,FIND(",",Stage!J236)-1)))</f>
        <v>17</v>
      </c>
      <c r="H211" s="119">
        <f>IF(Stage!K236="",0,LEN(TRIM(Stage!K236))-LEN(SUBSTITUTE(TRIM(Stage!K236),",",""))+1)</f>
        <v>3</v>
      </c>
      <c r="I211" s="119">
        <f>Stage!O236+Stage!P236+Stage!N236+Stage!Q236+Stage!M236</f>
        <v>0</v>
      </c>
      <c r="J211" s="119">
        <f>IF(Stage!F236=0,0,I211/Stage!F236)</f>
        <v>0</v>
      </c>
      <c r="K211" s="120">
        <f t="shared" si="9"/>
        <v>23.007929832992914</v>
      </c>
      <c r="L211" s="120">
        <f t="shared" si="11"/>
        <v>33.62874619073105</v>
      </c>
      <c r="M211" s="119" t="str">
        <f t="shared" si="10"/>
        <v>쉬움</v>
      </c>
    </row>
    <row r="212" spans="1:13" ht="15.95" customHeight="1" x14ac:dyDescent="0.3">
      <c r="A212" s="117">
        <v>199</v>
      </c>
      <c r="B212" s="117" t="str">
        <f>Stage!C237</f>
        <v>N 199</v>
      </c>
      <c r="C212" s="117">
        <f>Stage!F237</f>
        <v>165</v>
      </c>
      <c r="D212" s="117">
        <f>IF(Stage!G237="",0,LEN(TRIM(Stage!G237))-LEN(SUBSTITUTE(TRIM(Stage!G237),",",""))+1)</f>
        <v>3</v>
      </c>
      <c r="E212" s="117">
        <f>IF(ISERROR(FIND(",",Stage!H237)),VALUE(Stage!H237),(VALUE(LEFT(Stage!H237,FIND(",",Stage!H237)-1))+VALUE(TRIM(MID(Stage!H237,FIND("|",SUBSTITUTE(Stage!H237,",","|",LEN(Stage!H237)-LEN(SUBSTITUTE(Stage!H237,",",""))))+1,100))))/2)</f>
        <v>2.5</v>
      </c>
      <c r="F212" s="117">
        <f>IF(ISERROR(FIND(",",Stage!I237)),VALUE(Stage!I237),(VALUE(LEFT(Stage!I237,FIND(",",Stage!I237)-1))+VALUE(TRIM(MID(Stage!I237,FIND("|",SUBSTITUTE(Stage!I237,",","|",LEN(Stage!I237)-LEN(SUBSTITUTE(Stage!I237,",",""))))+1,100))))/2)</f>
        <v>0.3</v>
      </c>
      <c r="G212" s="117">
        <f>IF(ISERROR(FIND(",",Stage!J237)),VALUE(Stage!J237),VALUE(LEFT(Stage!J237,FIND(",",Stage!J237)-1)))</f>
        <v>33</v>
      </c>
      <c r="H212" s="117">
        <f>IF(Stage!K237="",0,LEN(TRIM(Stage!K237))-LEN(SUBSTITUTE(TRIM(Stage!K237),",",""))+1)</f>
        <v>4</v>
      </c>
      <c r="I212" s="117">
        <f>Stage!O237+Stage!P237+Stage!N237+Stage!Q237+Stage!M237</f>
        <v>3</v>
      </c>
      <c r="J212" s="117">
        <f>IF(Stage!F237=0,0,I212/Stage!F237)</f>
        <v>1.8181818181818181E-2</v>
      </c>
      <c r="K212" s="118">
        <f t="shared" si="9"/>
        <v>41.845160726573674</v>
      </c>
      <c r="L212" s="118">
        <f t="shared" si="11"/>
        <v>34.524877393422386</v>
      </c>
      <c r="M212" s="117" t="str">
        <f t="shared" si="10"/>
        <v>보통</v>
      </c>
    </row>
    <row r="213" spans="1:13" ht="15.95" customHeight="1" x14ac:dyDescent="0.3">
      <c r="A213" s="119">
        <v>200</v>
      </c>
      <c r="B213" s="119" t="str">
        <f>Stage!C238</f>
        <v>N 200</v>
      </c>
      <c r="C213" s="119">
        <f>Stage!F238</f>
        <v>150</v>
      </c>
      <c r="D213" s="119">
        <f>IF(Stage!G238="",0,LEN(TRIM(Stage!G238))-LEN(SUBSTITUTE(TRIM(Stage!G238),",",""))+1)</f>
        <v>3</v>
      </c>
      <c r="E213" s="119">
        <f>IF(ISERROR(FIND(",",Stage!H238)),VALUE(Stage!H238),(VALUE(LEFT(Stage!H238,FIND(",",Stage!H238)-1))+VALUE(TRIM(MID(Stage!H238,FIND("|",SUBSTITUTE(Stage!H238,",","|",LEN(Stage!H238)-LEN(SUBSTITUTE(Stage!H238,",",""))))+1,100))))/2)</f>
        <v>2.5</v>
      </c>
      <c r="F213" s="119">
        <f>IF(ISERROR(FIND(",",Stage!I238)),VALUE(Stage!I238),(VALUE(LEFT(Stage!I238,FIND(",",Stage!I238)-1))+VALUE(TRIM(MID(Stage!I238,FIND("|",SUBSTITUTE(Stage!I238,",","|",LEN(Stage!I238)-LEN(SUBSTITUTE(Stage!I238,",",""))))+1,100))))/2)</f>
        <v>0.4</v>
      </c>
      <c r="G213" s="119">
        <f>IF(ISERROR(FIND(",",Stage!J238)),VALUE(Stage!J238),VALUE(LEFT(Stage!J238,FIND(",",Stage!J238)-1)))</f>
        <v>37</v>
      </c>
      <c r="H213" s="119">
        <f>IF(Stage!K238="",0,LEN(TRIM(Stage!K238))-LEN(SUBSTITUTE(TRIM(Stage!K238),",",""))+1)</f>
        <v>3</v>
      </c>
      <c r="I213" s="119">
        <f>Stage!O238+Stage!P238+Stage!N238+Stage!Q238+Stage!M238</f>
        <v>1</v>
      </c>
      <c r="J213" s="119">
        <f>IF(Stage!F238=0,0,I213/Stage!F238)</f>
        <v>6.6666666666666671E-3</v>
      </c>
      <c r="K213" s="120">
        <f t="shared" si="9"/>
        <v>36.845448355961388</v>
      </c>
      <c r="L213" s="120">
        <f t="shared" si="11"/>
        <v>35.546544260337363</v>
      </c>
      <c r="M213" s="119" t="str">
        <f t="shared" si="10"/>
        <v>보통</v>
      </c>
    </row>
    <row r="214" spans="1:13" ht="15.95" customHeight="1" x14ac:dyDescent="0.3">
      <c r="A214" s="117">
        <v>201</v>
      </c>
      <c r="B214" s="117" t="str">
        <f>Stage!C239</f>
        <v>N 201</v>
      </c>
      <c r="C214" s="117">
        <f>Stage!F239</f>
        <v>160</v>
      </c>
      <c r="D214" s="117">
        <f>IF(Stage!G239="",0,LEN(TRIM(Stage!G239))-LEN(SUBSTITUTE(TRIM(Stage!G239),",",""))+1)</f>
        <v>3</v>
      </c>
      <c r="E214" s="117">
        <f>IF(ISERROR(FIND(",",Stage!H239)),VALUE(Stage!H239),(VALUE(LEFT(Stage!H239,FIND(",",Stage!H239)-1))+VALUE(TRIM(MID(Stage!H239,FIND("|",SUBSTITUTE(Stage!H239,",","|",LEN(Stage!H239)-LEN(SUBSTITUTE(Stage!H239,",",""))))+1,100))))/2)</f>
        <v>2.5</v>
      </c>
      <c r="F214" s="117">
        <f>IF(ISERROR(FIND(",",Stage!I239)),VALUE(Stage!I239),(VALUE(LEFT(Stage!I239,FIND(",",Stage!I239)-1))+VALUE(TRIM(MID(Stage!I239,FIND("|",SUBSTITUTE(Stage!I239,",","|",LEN(Stage!I239)-LEN(SUBSTITUTE(Stage!I239,",",""))))+1,100))))/2)</f>
        <v>0.4</v>
      </c>
      <c r="G214" s="117">
        <f>IF(ISERROR(FIND(",",Stage!J239)),VALUE(Stage!J239),VALUE(LEFT(Stage!J239,FIND(",",Stage!J239)-1)))</f>
        <v>32</v>
      </c>
      <c r="H214" s="117">
        <f>IF(Stage!K239="",0,LEN(TRIM(Stage!K239))-LEN(SUBSTITUTE(TRIM(Stage!K239),",",""))+1)</f>
        <v>4</v>
      </c>
      <c r="I214" s="117">
        <f>Stage!O239+Stage!P239+Stage!N239+Stage!Q239+Stage!M239</f>
        <v>2</v>
      </c>
      <c r="J214" s="117">
        <f>IF(Stage!F239=0,0,I214/Stage!F239)</f>
        <v>1.2500000000000001E-2</v>
      </c>
      <c r="K214" s="118">
        <f t="shared" si="9"/>
        <v>39.836897753213982</v>
      </c>
      <c r="L214" s="118">
        <f t="shared" si="11"/>
        <v>38.314047964931056</v>
      </c>
      <c r="M214" s="117" t="str">
        <f t="shared" si="10"/>
        <v>보통</v>
      </c>
    </row>
    <row r="215" spans="1:13" ht="15.95" customHeight="1" x14ac:dyDescent="0.3">
      <c r="A215" s="119">
        <v>202</v>
      </c>
      <c r="B215" s="119" t="str">
        <f>Stage!C240</f>
        <v>N 202</v>
      </c>
      <c r="C215" s="119">
        <f>Stage!F240</f>
        <v>145</v>
      </c>
      <c r="D215" s="119">
        <f>IF(Stage!G240="",0,LEN(TRIM(Stage!G240))-LEN(SUBSTITUTE(TRIM(Stage!G240),",",""))+1)</f>
        <v>3</v>
      </c>
      <c r="E215" s="119">
        <f>IF(ISERROR(FIND(",",Stage!H240)),VALUE(Stage!H240),(VALUE(LEFT(Stage!H240,FIND(",",Stage!H240)-1))+VALUE(TRIM(MID(Stage!H240,FIND("|",SUBSTITUTE(Stage!H240,",","|",LEN(Stage!H240)-LEN(SUBSTITUTE(Stage!H240,",",""))))+1,100))))/2)</f>
        <v>2.5</v>
      </c>
      <c r="F215" s="119">
        <f>IF(ISERROR(FIND(",",Stage!I240)),VALUE(Stage!I240),(VALUE(LEFT(Stage!I240,FIND(",",Stage!I240)-1))+VALUE(TRIM(MID(Stage!I240,FIND("|",SUBSTITUTE(Stage!I240,",","|",LEN(Stage!I240)-LEN(SUBSTITUTE(Stage!I240,",",""))))+1,100))))/2)</f>
        <v>0.4</v>
      </c>
      <c r="G215" s="119">
        <f>IF(ISERROR(FIND(",",Stage!J240)),VALUE(Stage!J240),VALUE(LEFT(Stage!J240,FIND(",",Stage!J240)-1)))</f>
        <v>36</v>
      </c>
      <c r="H215" s="119">
        <f>IF(Stage!K240="",0,LEN(TRIM(Stage!K240))-LEN(SUBSTITUTE(TRIM(Stage!K240),",",""))+1)</f>
        <v>3</v>
      </c>
      <c r="I215" s="119">
        <f>Stage!O240+Stage!P240+Stage!N240+Stage!Q240+Stage!M240</f>
        <v>0</v>
      </c>
      <c r="J215" s="119">
        <f>IF(Stage!F240=0,0,I215/Stage!F240)</f>
        <v>0</v>
      </c>
      <c r="K215" s="120">
        <f t="shared" si="9"/>
        <v>36.19728463294485</v>
      </c>
      <c r="L215" s="120">
        <f t="shared" si="11"/>
        <v>38.314047964931056</v>
      </c>
      <c r="M215" s="119" t="str">
        <f t="shared" si="10"/>
        <v>보통</v>
      </c>
    </row>
    <row r="216" spans="1:13" ht="15.95" customHeight="1" x14ac:dyDescent="0.3">
      <c r="A216" s="117">
        <v>203</v>
      </c>
      <c r="B216" s="117" t="str">
        <f>Stage!C241</f>
        <v>N 203</v>
      </c>
      <c r="C216" s="117">
        <f>Stage!F241</f>
        <v>150</v>
      </c>
      <c r="D216" s="117">
        <f>IF(Stage!G241="",0,LEN(TRIM(Stage!G241))-LEN(SUBSTITUTE(TRIM(Stage!G241),",",""))+1)</f>
        <v>3</v>
      </c>
      <c r="E216" s="117">
        <f>IF(ISERROR(FIND(",",Stage!H241)),VALUE(Stage!H241),(VALUE(LEFT(Stage!H241,FIND(",",Stage!H241)-1))+VALUE(TRIM(MID(Stage!H241,FIND("|",SUBSTITUTE(Stage!H241,",","|",LEN(Stage!H241)-LEN(SUBSTITUTE(Stage!H241,",",""))))+1,100))))/2)</f>
        <v>2.5</v>
      </c>
      <c r="F216" s="117">
        <f>IF(ISERROR(FIND(",",Stage!I241)),VALUE(Stage!I241),(VALUE(LEFT(Stage!I241,FIND(",",Stage!I241)-1))+VALUE(TRIM(MID(Stage!I241,FIND("|",SUBSTITUTE(Stage!I241,",","|",LEN(Stage!I241)-LEN(SUBSTITUTE(Stage!I241,",",""))))+1,100))))/2)</f>
        <v>0.4</v>
      </c>
      <c r="G216" s="117">
        <f>IF(ISERROR(FIND(",",Stage!J241)),VALUE(Stage!J241),VALUE(LEFT(Stage!J241,FIND(",",Stage!J241)-1)))</f>
        <v>37</v>
      </c>
      <c r="H216" s="117">
        <f>IF(Stage!K241="",0,LEN(TRIM(Stage!K241))-LEN(SUBSTITUTE(TRIM(Stage!K241),",",""))+1)</f>
        <v>3</v>
      </c>
      <c r="I216" s="117">
        <f>Stage!O241+Stage!P241+Stage!N241+Stage!Q241+Stage!M241</f>
        <v>1</v>
      </c>
      <c r="J216" s="117">
        <f>IF(Stage!F241=0,0,I216/Stage!F241)</f>
        <v>6.6666666666666671E-3</v>
      </c>
      <c r="K216" s="118">
        <f t="shared" si="9"/>
        <v>36.845448355961388</v>
      </c>
      <c r="L216" s="118">
        <f t="shared" si="11"/>
        <v>38.100310931008991</v>
      </c>
      <c r="M216" s="117" t="str">
        <f t="shared" si="10"/>
        <v>보통</v>
      </c>
    </row>
    <row r="217" spans="1:13" ht="15.95" customHeight="1" x14ac:dyDescent="0.3">
      <c r="A217" s="119">
        <v>204</v>
      </c>
      <c r="B217" s="119" t="str">
        <f>Stage!C242</f>
        <v>N 204</v>
      </c>
      <c r="C217" s="119">
        <f>Stage!F242</f>
        <v>165</v>
      </c>
      <c r="D217" s="119">
        <f>IF(Stage!G242="",0,LEN(TRIM(Stage!G242))-LEN(SUBSTITUTE(TRIM(Stage!G242),",",""))+1)</f>
        <v>3</v>
      </c>
      <c r="E217" s="119">
        <f>IF(ISERROR(FIND(",",Stage!H242)),VALUE(Stage!H242),(VALUE(LEFT(Stage!H242,FIND(",",Stage!H242)-1))+VALUE(TRIM(MID(Stage!H242,FIND("|",SUBSTITUTE(Stage!H242,",","|",LEN(Stage!H242)-LEN(SUBSTITUTE(Stage!H242,",",""))))+1,100))))/2)</f>
        <v>2.5</v>
      </c>
      <c r="F217" s="119">
        <f>IF(ISERROR(FIND(",",Stage!I242)),VALUE(Stage!I242),(VALUE(LEFT(Stage!I242,FIND(",",Stage!I242)-1))+VALUE(TRIM(MID(Stage!I242,FIND("|",SUBSTITUTE(Stage!I242,",","|",LEN(Stage!I242)-LEN(SUBSTITUTE(Stage!I242,",",""))))+1,100))))/2)</f>
        <v>0.3</v>
      </c>
      <c r="G217" s="119">
        <f>IF(ISERROR(FIND(",",Stage!J242)),VALUE(Stage!J242),VALUE(LEFT(Stage!J242,FIND(",",Stage!J242)-1)))</f>
        <v>33</v>
      </c>
      <c r="H217" s="119">
        <f>IF(Stage!K242="",0,LEN(TRIM(Stage!K242))-LEN(SUBSTITUTE(TRIM(Stage!K242),",",""))+1)</f>
        <v>4</v>
      </c>
      <c r="I217" s="119">
        <f>Stage!O242+Stage!P242+Stage!N242+Stage!Q242+Stage!M242</f>
        <v>3</v>
      </c>
      <c r="J217" s="119">
        <f>IF(Stage!F242=0,0,I217/Stage!F242)</f>
        <v>1.8181818181818181E-2</v>
      </c>
      <c r="K217" s="120">
        <f t="shared" si="9"/>
        <v>41.845160726573674</v>
      </c>
      <c r="L217" s="120">
        <f t="shared" si="11"/>
        <v>36.35672888927725</v>
      </c>
      <c r="M217" s="119" t="str">
        <f t="shared" si="10"/>
        <v>보통</v>
      </c>
    </row>
    <row r="218" spans="1:13" ht="15.95" customHeight="1" x14ac:dyDescent="0.3">
      <c r="A218" s="117">
        <v>205</v>
      </c>
      <c r="B218" s="117" t="str">
        <f>Stage!C243</f>
        <v>N 205</v>
      </c>
      <c r="C218" s="117">
        <f>Stage!F243</f>
        <v>140</v>
      </c>
      <c r="D218" s="117">
        <f>IF(Stage!G243="",0,LEN(TRIM(Stage!G243))-LEN(SUBSTITUTE(TRIM(Stage!G243),",",""))+1)</f>
        <v>3</v>
      </c>
      <c r="E218" s="117">
        <f>IF(ISERROR(FIND(",",Stage!H243)),VALUE(Stage!H243),(VALUE(LEFT(Stage!H243,FIND(",",Stage!H243)-1))+VALUE(TRIM(MID(Stage!H243,FIND("|",SUBSTITUTE(Stage!H243,",","|",LEN(Stage!H243)-LEN(SUBSTITUTE(Stage!H243,",",""))))+1,100))))/2)</f>
        <v>2.5</v>
      </c>
      <c r="F218" s="117">
        <f>IF(ISERROR(FIND(",",Stage!I243)),VALUE(Stage!I243),(VALUE(LEFT(Stage!I243,FIND(",",Stage!I243)-1))+VALUE(TRIM(MID(Stage!I243,FIND("|",SUBSTITUTE(Stage!I243,",","|",LEN(Stage!I243)-LEN(SUBSTITUTE(Stage!I243,",",""))))+1,100))))/2)</f>
        <v>0.4</v>
      </c>
      <c r="G218" s="117">
        <f>IF(ISERROR(FIND(",",Stage!J243)),VALUE(Stage!J243),VALUE(LEFT(Stage!J243,FIND(",",Stage!J243)-1)))</f>
        <v>35</v>
      </c>
      <c r="H218" s="117">
        <f>IF(Stage!K243="",0,LEN(TRIM(Stage!K243))-LEN(SUBSTITUTE(TRIM(Stage!K243),",",""))+1)</f>
        <v>3</v>
      </c>
      <c r="I218" s="117">
        <f>Stage!O243+Stage!P243+Stage!N243+Stage!Q243+Stage!M243</f>
        <v>0</v>
      </c>
      <c r="J218" s="117">
        <f>IF(Stage!F243=0,0,I218/Stage!F243)</f>
        <v>0</v>
      </c>
      <c r="K218" s="118">
        <f t="shared" si="9"/>
        <v>35.776763186351076</v>
      </c>
      <c r="L218" s="118">
        <f t="shared" si="11"/>
        <v>38.642207206715199</v>
      </c>
      <c r="M218" s="117" t="str">
        <f t="shared" si="10"/>
        <v>보통</v>
      </c>
    </row>
    <row r="219" spans="1:13" ht="15.95" customHeight="1" x14ac:dyDescent="0.3">
      <c r="A219" s="119">
        <v>206</v>
      </c>
      <c r="B219" s="119" t="str">
        <f>Stage!C244</f>
        <v>N 206</v>
      </c>
      <c r="C219" s="119">
        <f>Stage!F244</f>
        <v>115</v>
      </c>
      <c r="D219" s="119">
        <f>IF(Stage!G244="",0,LEN(TRIM(Stage!G244))-LEN(SUBSTITUTE(TRIM(Stage!G244),",",""))+1)</f>
        <v>3</v>
      </c>
      <c r="E219" s="119">
        <f>IF(ISERROR(FIND(",",Stage!H244)),VALUE(Stage!H244),(VALUE(LEFT(Stage!H244,FIND(",",Stage!H244)-1))+VALUE(TRIM(MID(Stage!H244,FIND("|",SUBSTITUTE(Stage!H244,",","|",LEN(Stage!H244)-LEN(SUBSTITUTE(Stage!H244,",",""))))+1,100))))/2)</f>
        <v>2</v>
      </c>
      <c r="F219" s="119">
        <f>IF(ISERROR(FIND(",",Stage!I244)),VALUE(Stage!I244),(VALUE(LEFT(Stage!I244,FIND(",",Stage!I244)-1))+VALUE(TRIM(MID(Stage!I244,FIND("|",SUBSTITUTE(Stage!I244,",","|",LEN(Stage!I244)-LEN(SUBSTITUTE(Stage!I244,",",""))))+1,100))))/2)</f>
        <v>0.5</v>
      </c>
      <c r="G219" s="119">
        <f>IF(ISERROR(FIND(",",Stage!J244)),VALUE(Stage!J244),VALUE(LEFT(Stage!J244,FIND(",",Stage!J244)-1)))</f>
        <v>28</v>
      </c>
      <c r="H219" s="119">
        <f>IF(Stage!K244="",0,LEN(TRIM(Stage!K244))-LEN(SUBSTITUTE(TRIM(Stage!K244),",",""))+1)</f>
        <v>3</v>
      </c>
      <c r="I219" s="119">
        <f>Stage!O244+Stage!P244+Stage!N244+Stage!Q244+Stage!M244</f>
        <v>0</v>
      </c>
      <c r="J219" s="119">
        <f>IF(Stage!F244=0,0,I219/Stage!F244)</f>
        <v>0</v>
      </c>
      <c r="K219" s="120">
        <f t="shared" si="9"/>
        <v>31.118987544555253</v>
      </c>
      <c r="L219" s="120">
        <f t="shared" si="11"/>
        <v>40.287815761322911</v>
      </c>
      <c r="M219" s="119" t="str">
        <f t="shared" si="10"/>
        <v>보통</v>
      </c>
    </row>
    <row r="220" spans="1:13" ht="15.95" customHeight="1" x14ac:dyDescent="0.3">
      <c r="A220" s="117">
        <v>207</v>
      </c>
      <c r="B220" s="117" t="str">
        <f>Stage!C245</f>
        <v>N 207</v>
      </c>
      <c r="C220" s="117">
        <f>Stage!F245</f>
        <v>185</v>
      </c>
      <c r="D220" s="117">
        <f>IF(Stage!G245="",0,LEN(TRIM(Stage!G245))-LEN(SUBSTITUTE(TRIM(Stage!G245),",",""))+1)</f>
        <v>3</v>
      </c>
      <c r="E220" s="117">
        <f>IF(ISERROR(FIND(",",Stage!H245)),VALUE(Stage!H245),(VALUE(LEFT(Stage!H245,FIND(",",Stage!H245)-1))+VALUE(TRIM(MID(Stage!H245,FIND("|",SUBSTITUTE(Stage!H245,",","|",LEN(Stage!H245)-LEN(SUBSTITUTE(Stage!H245,",",""))))+1,100))))/2)</f>
        <v>3</v>
      </c>
      <c r="F220" s="117">
        <f>IF(ISERROR(FIND(",",Stage!I245)),VALUE(Stage!I245),(VALUE(LEFT(Stage!I245,FIND(",",Stage!I245)-1))+VALUE(TRIM(MID(Stage!I245,FIND("|",SUBSTITUTE(Stage!I245,",","|",LEN(Stage!I245)-LEN(SUBSTITUTE(Stage!I245,",",""))))+1,100))))/2)</f>
        <v>0.2</v>
      </c>
      <c r="G220" s="117">
        <f>IF(ISERROR(FIND(",",Stage!J245)),VALUE(Stage!J245),VALUE(LEFT(Stage!J245,FIND(",",Stage!J245)-1)))</f>
        <v>37</v>
      </c>
      <c r="H220" s="117">
        <f>IF(Stage!K245="",0,LEN(TRIM(Stage!K245))-LEN(SUBSTITUTE(TRIM(Stage!K245),",",""))+1)</f>
        <v>4</v>
      </c>
      <c r="I220" s="117">
        <f>Stage!O245+Stage!P245+Stage!N245+Stage!Q245+Stage!M245</f>
        <v>7</v>
      </c>
      <c r="J220" s="117">
        <f>IF(Stage!F245=0,0,I220/Stage!F245)</f>
        <v>3.783783783783784E-2</v>
      </c>
      <c r="K220" s="118">
        <f t="shared" si="9"/>
        <v>47.624676220134596</v>
      </c>
      <c r="L220" s="118">
        <f t="shared" si="11"/>
        <v>38.05246938636342</v>
      </c>
      <c r="M220" s="117" t="str">
        <f t="shared" si="10"/>
        <v>어려움</v>
      </c>
    </row>
    <row r="221" spans="1:13" ht="15.95" customHeight="1" x14ac:dyDescent="0.3">
      <c r="A221" s="119">
        <v>208</v>
      </c>
      <c r="B221" s="119" t="str">
        <f>Stage!C246</f>
        <v>N 208</v>
      </c>
      <c r="C221" s="119">
        <f>Stage!F246</f>
        <v>175</v>
      </c>
      <c r="D221" s="119">
        <f>IF(Stage!G246="",0,LEN(TRIM(Stage!G246))-LEN(SUBSTITUTE(TRIM(Stage!G246),",",""))+1)</f>
        <v>3</v>
      </c>
      <c r="E221" s="119">
        <f>IF(ISERROR(FIND(",",Stage!H246)),VALUE(Stage!H246),(VALUE(LEFT(Stage!H246,FIND(",",Stage!H246)-1))+VALUE(TRIM(MID(Stage!H246,FIND("|",SUBSTITUTE(Stage!H246,",","|",LEN(Stage!H246)-LEN(SUBSTITUTE(Stage!H246,",",""))))+1,100))))/2)</f>
        <v>3</v>
      </c>
      <c r="F221" s="119">
        <f>IF(ISERROR(FIND(",",Stage!I246)),VALUE(Stage!I246),(VALUE(LEFT(Stage!I246,FIND(",",Stage!I246)-1))+VALUE(TRIM(MID(Stage!I246,FIND("|",SUBSTITUTE(Stage!I246,",","|",LEN(Stage!I246)-LEN(SUBSTITUTE(Stage!I246,",",""))))+1,100))))/2)</f>
        <v>0.3</v>
      </c>
      <c r="G221" s="119">
        <f>IF(ISERROR(FIND(",",Stage!J246)),VALUE(Stage!J246),VALUE(LEFT(Stage!J246,FIND(",",Stage!J246)-1)))</f>
        <v>35</v>
      </c>
      <c r="H221" s="119">
        <f>IF(Stage!K246="",0,LEN(TRIM(Stage!K246))-LEN(SUBSTITUTE(TRIM(Stage!K246),",",""))+1)</f>
        <v>4</v>
      </c>
      <c r="I221" s="119">
        <f>Stage!O246+Stage!P246+Stage!N246+Stage!Q246+Stage!M246</f>
        <v>5</v>
      </c>
      <c r="J221" s="119">
        <f>IF(Stage!F246=0,0,I221/Stage!F246)</f>
        <v>2.8571428571428571E-2</v>
      </c>
      <c r="K221" s="120">
        <f t="shared" si="9"/>
        <v>45.073491128999954</v>
      </c>
      <c r="L221" s="120">
        <f t="shared" si="11"/>
        <v>38.864496299735997</v>
      </c>
      <c r="M221" s="119" t="str">
        <f t="shared" si="10"/>
        <v>어려움</v>
      </c>
    </row>
    <row r="222" spans="1:13" ht="15.95" customHeight="1" x14ac:dyDescent="0.3">
      <c r="A222" s="117">
        <v>209</v>
      </c>
      <c r="B222" s="117" t="str">
        <f>Stage!C247</f>
        <v>N 209</v>
      </c>
      <c r="C222" s="117">
        <f>Stage!F247</f>
        <v>120</v>
      </c>
      <c r="D222" s="117">
        <f>IF(Stage!G247="",0,LEN(TRIM(Stage!G247))-LEN(SUBSTITUTE(TRIM(Stage!G247),",",""))+1)</f>
        <v>3</v>
      </c>
      <c r="E222" s="117">
        <f>IF(ISERROR(FIND(",",Stage!H247)),VALUE(Stage!H247),(VALUE(LEFT(Stage!H247,FIND(",",Stage!H247)-1))+VALUE(TRIM(MID(Stage!H247,FIND("|",SUBSTITUTE(Stage!H247,",","|",LEN(Stage!H247)-LEN(SUBSTITUTE(Stage!H247,",",""))))+1,100))))/2)</f>
        <v>2</v>
      </c>
      <c r="F222" s="117">
        <f>IF(ISERROR(FIND(",",Stage!I247)),VALUE(Stage!I247),(VALUE(LEFT(Stage!I247,FIND(",",Stage!I247)-1))+VALUE(TRIM(MID(Stage!I247,FIND("|",SUBSTITUTE(Stage!I247,",","|",LEN(Stage!I247)-LEN(SUBSTITUTE(Stage!I247,",",""))))+1,100))))/2)</f>
        <v>0.5</v>
      </c>
      <c r="G222" s="117">
        <f>IF(ISERROR(FIND(",",Stage!J247)),VALUE(Stage!J247),VALUE(LEFT(Stage!J247,FIND(",",Stage!J247)-1)))</f>
        <v>30</v>
      </c>
      <c r="H222" s="117">
        <f>IF(Stage!K247="",0,LEN(TRIM(Stage!K247))-LEN(SUBSTITUTE(TRIM(Stage!K247),",",""))+1)</f>
        <v>3</v>
      </c>
      <c r="I222" s="117">
        <f>Stage!O247+Stage!P247+Stage!N247+Stage!Q247+Stage!M247</f>
        <v>0</v>
      </c>
      <c r="J222" s="117">
        <f>IF(Stage!F247=0,0,I222/Stage!F247)</f>
        <v>0</v>
      </c>
      <c r="K222" s="118">
        <f t="shared" si="9"/>
        <v>30.668428851776209</v>
      </c>
      <c r="L222" s="118">
        <f t="shared" si="11"/>
        <v>42.535151912696072</v>
      </c>
      <c r="M222" s="117" t="str">
        <f t="shared" si="10"/>
        <v>보통</v>
      </c>
    </row>
    <row r="223" spans="1:13" ht="15.95" customHeight="1" x14ac:dyDescent="0.3">
      <c r="A223" s="119">
        <v>210</v>
      </c>
      <c r="B223" s="119" t="str">
        <f>Stage!C248</f>
        <v>N 210</v>
      </c>
      <c r="C223" s="119">
        <f>Stage!F248</f>
        <v>160</v>
      </c>
      <c r="D223" s="119">
        <f>IF(Stage!G248="",0,LEN(TRIM(Stage!G248))-LEN(SUBSTITUTE(TRIM(Stage!G248),",",""))+1)</f>
        <v>3</v>
      </c>
      <c r="E223" s="119">
        <f>IF(ISERROR(FIND(",",Stage!H248)),VALUE(Stage!H248),(VALUE(LEFT(Stage!H248,FIND(",",Stage!H248)-1))+VALUE(TRIM(MID(Stage!H248,FIND("|",SUBSTITUTE(Stage!H248,",","|",LEN(Stage!H248)-LEN(SUBSTITUTE(Stage!H248,",",""))))+1,100))))/2)</f>
        <v>2.5</v>
      </c>
      <c r="F223" s="119">
        <f>IF(ISERROR(FIND(",",Stage!I248)),VALUE(Stage!I248),(VALUE(LEFT(Stage!I248,FIND(",",Stage!I248)-1))+VALUE(TRIM(MID(Stage!I248,FIND("|",SUBSTITUTE(Stage!I248,",","|",LEN(Stage!I248)-LEN(SUBSTITUTE(Stage!I248,",",""))))+1,100))))/2)</f>
        <v>0.4</v>
      </c>
      <c r="G223" s="119">
        <f>IF(ISERROR(FIND(",",Stage!J248)),VALUE(Stage!J248),VALUE(LEFT(Stage!J248,FIND(",",Stage!J248)-1)))</f>
        <v>32</v>
      </c>
      <c r="H223" s="119">
        <f>IF(Stage!K248="",0,LEN(TRIM(Stage!K248))-LEN(SUBSTITUTE(TRIM(Stage!K248),",",""))+1)</f>
        <v>4</v>
      </c>
      <c r="I223" s="119">
        <f>Stage!O248+Stage!P248+Stage!N248+Stage!Q248+Stage!M248</f>
        <v>2</v>
      </c>
      <c r="J223" s="119">
        <f>IF(Stage!F248=0,0,I223/Stage!F248)</f>
        <v>1.2500000000000001E-2</v>
      </c>
      <c r="K223" s="120">
        <f t="shared" si="9"/>
        <v>39.836897753213982</v>
      </c>
      <c r="L223" s="120">
        <f t="shared" si="11"/>
        <v>42.870523449076856</v>
      </c>
      <c r="M223" s="119" t="str">
        <f t="shared" si="10"/>
        <v>보통</v>
      </c>
    </row>
    <row r="224" spans="1:13" ht="15.95" customHeight="1" x14ac:dyDescent="0.3">
      <c r="A224" s="117">
        <v>211</v>
      </c>
      <c r="B224" s="117" t="str">
        <f>Stage!C249</f>
        <v>N 211</v>
      </c>
      <c r="C224" s="117">
        <f>Stage!F249</f>
        <v>200</v>
      </c>
      <c r="D224" s="117">
        <f>IF(Stage!G249="",0,LEN(TRIM(Stage!G249))-LEN(SUBSTITUTE(TRIM(Stage!G249),",",""))+1)</f>
        <v>3</v>
      </c>
      <c r="E224" s="117">
        <f>IF(ISERROR(FIND(",",Stage!H249)),VALUE(Stage!H249),(VALUE(LEFT(Stage!H249,FIND(",",Stage!H249)-1))+VALUE(TRIM(MID(Stage!H249,FIND("|",SUBSTITUTE(Stage!H249,",","|",LEN(Stage!H249)-LEN(SUBSTITUTE(Stage!H249,",",""))))+1,100))))/2)</f>
        <v>3</v>
      </c>
      <c r="F224" s="117">
        <f>IF(ISERROR(FIND(",",Stage!I249)),VALUE(Stage!I249),(VALUE(LEFT(Stage!I249,FIND(",",Stage!I249)-1))+VALUE(TRIM(MID(Stage!I249,FIND("|",SUBSTITUTE(Stage!I249,",","|",LEN(Stage!I249)-LEN(SUBSTITUTE(Stage!I249,",",""))))+1,100))))/2)</f>
        <v>0.2</v>
      </c>
      <c r="G224" s="117">
        <f>IF(ISERROR(FIND(",",Stage!J249)),VALUE(Stage!J249),VALUE(LEFT(Stage!J249,FIND(",",Stage!J249)-1)))</f>
        <v>40</v>
      </c>
      <c r="H224" s="117">
        <f>IF(Stage!K249="",0,LEN(TRIM(Stage!K249))-LEN(SUBSTITUTE(TRIM(Stage!K249),",",""))+1)</f>
        <v>4</v>
      </c>
      <c r="I224" s="117">
        <f>Stage!O249+Stage!P249+Stage!N249+Stage!Q249+Stage!M249</f>
        <v>11</v>
      </c>
      <c r="J224" s="117">
        <f>IF(Stage!F249=0,0,I224/Stage!F249)</f>
        <v>5.5E-2</v>
      </c>
      <c r="K224" s="118">
        <f t="shared" si="9"/>
        <v>49.472265609355603</v>
      </c>
      <c r="L224" s="118">
        <f t="shared" si="11"/>
        <v>42.2248573685916</v>
      </c>
      <c r="M224" s="117" t="str">
        <f t="shared" si="10"/>
        <v>어려움</v>
      </c>
    </row>
    <row r="225" spans="1:13" ht="15.95" customHeight="1" x14ac:dyDescent="0.3">
      <c r="A225" s="119">
        <v>212</v>
      </c>
      <c r="B225" s="119" t="str">
        <f>Stage!C250</f>
        <v>N 212</v>
      </c>
      <c r="C225" s="119">
        <f>Stage!F250</f>
        <v>200</v>
      </c>
      <c r="D225" s="119">
        <f>IF(Stage!G250="",0,LEN(TRIM(Stage!G250))-LEN(SUBSTITUTE(TRIM(Stage!G250),",",""))+1)</f>
        <v>3</v>
      </c>
      <c r="E225" s="119">
        <f>IF(ISERROR(FIND(",",Stage!H250)),VALUE(Stage!H250),(VALUE(LEFT(Stage!H250,FIND(",",Stage!H250)-1))+VALUE(TRIM(MID(Stage!H250,FIND("|",SUBSTITUTE(Stage!H250,",","|",LEN(Stage!H250)-LEN(SUBSTITUTE(Stage!H250,",",""))))+1,100))))/2)</f>
        <v>3</v>
      </c>
      <c r="F225" s="119">
        <f>IF(ISERROR(FIND(",",Stage!I250)),VALUE(Stage!I250),(VALUE(LEFT(Stage!I250,FIND(",",Stage!I250)-1))+VALUE(TRIM(MID(Stage!I250,FIND("|",SUBSTITUTE(Stage!I250,",","|",LEN(Stage!I250)-LEN(SUBSTITUTE(Stage!I250,",",""))))+1,100))))/2)</f>
        <v>0.2</v>
      </c>
      <c r="G225" s="119">
        <f>IF(ISERROR(FIND(",",Stage!J250)),VALUE(Stage!J250),VALUE(LEFT(Stage!J250,FIND(",",Stage!J250)-1)))</f>
        <v>40</v>
      </c>
      <c r="H225" s="119">
        <f>IF(Stage!K250="",0,LEN(TRIM(Stage!K250))-LEN(SUBSTITUTE(TRIM(Stage!K250),",",""))+1)</f>
        <v>4</v>
      </c>
      <c r="I225" s="119">
        <f>Stage!O250+Stage!P250+Stage!N250+Stage!Q250+Stage!M250</f>
        <v>10</v>
      </c>
      <c r="J225" s="119">
        <f>IF(Stage!F250=0,0,I225/Stage!F250)</f>
        <v>0.05</v>
      </c>
      <c r="K225" s="120">
        <f t="shared" si="9"/>
        <v>49.301533902038528</v>
      </c>
      <c r="L225" s="120">
        <f t="shared" si="11"/>
        <v>43.85050517186766</v>
      </c>
      <c r="M225" s="119" t="str">
        <f t="shared" si="10"/>
        <v>어려움</v>
      </c>
    </row>
    <row r="226" spans="1:13" ht="15.95" customHeight="1" x14ac:dyDescent="0.3">
      <c r="A226" s="117">
        <v>213</v>
      </c>
      <c r="B226" s="117" t="str">
        <f>Stage!C251</f>
        <v>N 213</v>
      </c>
      <c r="C226" s="117">
        <f>Stage!F251</f>
        <v>165</v>
      </c>
      <c r="D226" s="117">
        <f>IF(Stage!G251="",0,LEN(TRIM(Stage!G251))-LEN(SUBSTITUTE(TRIM(Stage!G251),",",""))+1)</f>
        <v>3</v>
      </c>
      <c r="E226" s="117">
        <f>IF(ISERROR(FIND(",",Stage!H251)),VALUE(Stage!H251),(VALUE(LEFT(Stage!H251,FIND(",",Stage!H251)-1))+VALUE(TRIM(MID(Stage!H251,FIND("|",SUBSTITUTE(Stage!H251,",","|",LEN(Stage!H251)-LEN(SUBSTITUTE(Stage!H251,",",""))))+1,100))))/2)</f>
        <v>2.5</v>
      </c>
      <c r="F226" s="117">
        <f>IF(ISERROR(FIND(",",Stage!I251)),VALUE(Stage!I251),(VALUE(LEFT(Stage!I251,FIND(",",Stage!I251)-1))+VALUE(TRIM(MID(Stage!I251,FIND("|",SUBSTITUTE(Stage!I251,",","|",LEN(Stage!I251)-LEN(SUBSTITUTE(Stage!I251,",",""))))+1,100))))/2)</f>
        <v>0.3</v>
      </c>
      <c r="G226" s="117">
        <f>IF(ISERROR(FIND(",",Stage!J251)),VALUE(Stage!J251),VALUE(LEFT(Stage!J251,FIND(",",Stage!J251)-1)))</f>
        <v>33</v>
      </c>
      <c r="H226" s="117">
        <f>IF(Stage!K251="",0,LEN(TRIM(Stage!K251))-LEN(SUBSTITUTE(TRIM(Stage!K251),",",""))+1)</f>
        <v>4</v>
      </c>
      <c r="I226" s="117">
        <f>Stage!O251+Stage!P251+Stage!N251+Stage!Q251+Stage!M251</f>
        <v>3</v>
      </c>
      <c r="J226" s="117">
        <f>IF(Stage!F251=0,0,I226/Stage!F251)</f>
        <v>1.8181818181818181E-2</v>
      </c>
      <c r="K226" s="118">
        <f t="shared" si="9"/>
        <v>41.845160726573674</v>
      </c>
      <c r="L226" s="118">
        <f t="shared" si="11"/>
        <v>42.100915680898858</v>
      </c>
      <c r="M226" s="117" t="str">
        <f t="shared" si="10"/>
        <v>보통</v>
      </c>
    </row>
    <row r="227" spans="1:13" ht="15.95" customHeight="1" x14ac:dyDescent="0.3">
      <c r="A227" s="119">
        <v>214</v>
      </c>
      <c r="B227" s="119" t="str">
        <f>Stage!C252</f>
        <v>N 214</v>
      </c>
      <c r="C227" s="119">
        <f>Stage!F252</f>
        <v>150</v>
      </c>
      <c r="D227" s="119">
        <f>IF(Stage!G252="",0,LEN(TRIM(Stage!G252))-LEN(SUBSTITUTE(TRIM(Stage!G252),",",""))+1)</f>
        <v>3</v>
      </c>
      <c r="E227" s="119">
        <f>IF(ISERROR(FIND(",",Stage!H252)),VALUE(Stage!H252),(VALUE(LEFT(Stage!H252,FIND(",",Stage!H252)-1))+VALUE(TRIM(MID(Stage!H252,FIND("|",SUBSTITUTE(Stage!H252,",","|",LEN(Stage!H252)-LEN(SUBSTITUTE(Stage!H252,",",""))))+1,100))))/2)</f>
        <v>2.5</v>
      </c>
      <c r="F227" s="119">
        <f>IF(ISERROR(FIND(",",Stage!I252)),VALUE(Stage!I252),(VALUE(LEFT(Stage!I252,FIND(",",Stage!I252)-1))+VALUE(TRIM(MID(Stage!I252,FIND("|",SUBSTITUTE(Stage!I252,",","|",LEN(Stage!I252)-LEN(SUBSTITUTE(Stage!I252,",",""))))+1,100))))/2)</f>
        <v>0.4</v>
      </c>
      <c r="G227" s="119">
        <f>IF(ISERROR(FIND(",",Stage!J252)),VALUE(Stage!J252),VALUE(LEFT(Stage!J252,FIND(",",Stage!J252)-1)))</f>
        <v>30</v>
      </c>
      <c r="H227" s="119">
        <f>IF(Stage!K252="",0,LEN(TRIM(Stage!K252))-LEN(SUBSTITUTE(TRIM(Stage!K252),",",""))+1)</f>
        <v>4</v>
      </c>
      <c r="I227" s="119">
        <f>Stage!O252+Stage!P252+Stage!N252+Stage!Q252+Stage!M252</f>
        <v>1</v>
      </c>
      <c r="J227" s="119">
        <f>IF(Stage!F252=0,0,I227/Stage!F252)</f>
        <v>6.6666666666666671E-3</v>
      </c>
      <c r="K227" s="120">
        <f t="shared" si="9"/>
        <v>38.796667868156511</v>
      </c>
      <c r="L227" s="120">
        <f t="shared" si="11"/>
        <v>40.575494704342475</v>
      </c>
      <c r="M227" s="119" t="str">
        <f t="shared" si="10"/>
        <v>보통</v>
      </c>
    </row>
    <row r="228" spans="1:13" ht="15.95" customHeight="1" x14ac:dyDescent="0.3">
      <c r="A228" s="117">
        <v>215</v>
      </c>
      <c r="B228" s="117" t="str">
        <f>Stage!C253</f>
        <v>N 215</v>
      </c>
      <c r="C228" s="117">
        <f>Stage!F253</f>
        <v>125</v>
      </c>
      <c r="D228" s="117">
        <f>IF(Stage!G253="",0,LEN(TRIM(Stage!G253))-LEN(SUBSTITUTE(TRIM(Stage!G253),",",""))+1)</f>
        <v>3</v>
      </c>
      <c r="E228" s="117">
        <f>IF(ISERROR(FIND(",",Stage!H253)),VALUE(Stage!H253),(VALUE(LEFT(Stage!H253,FIND(",",Stage!H253)-1))+VALUE(TRIM(MID(Stage!H253,FIND("|",SUBSTITUTE(Stage!H253,",","|",LEN(Stage!H253)-LEN(SUBSTITUTE(Stage!H253,",",""))))+1,100))))/2)</f>
        <v>2</v>
      </c>
      <c r="F228" s="117">
        <f>IF(ISERROR(FIND(",",Stage!I253)),VALUE(Stage!I253),(VALUE(LEFT(Stage!I253,FIND(",",Stage!I253)-1))+VALUE(TRIM(MID(Stage!I253,FIND("|",SUBSTITUTE(Stage!I253,",","|",LEN(Stage!I253)-LEN(SUBSTITUTE(Stage!I253,",",""))))+1,100))))/2)</f>
        <v>0.5</v>
      </c>
      <c r="G228" s="117">
        <f>IF(ISERROR(FIND(",",Stage!J253)),VALUE(Stage!J253),VALUE(LEFT(Stage!J253,FIND(",",Stage!J253)-1)))</f>
        <v>31</v>
      </c>
      <c r="H228" s="117">
        <f>IF(Stage!K253="",0,LEN(TRIM(Stage!K253))-LEN(SUBSTITUTE(TRIM(Stage!K253),",",""))+1)</f>
        <v>3</v>
      </c>
      <c r="I228" s="117">
        <f>Stage!O253+Stage!P253+Stage!N253+Stage!Q253+Stage!M253</f>
        <v>0</v>
      </c>
      <c r="J228" s="117">
        <f>IF(Stage!F253=0,0,I228/Stage!F253)</f>
        <v>0</v>
      </c>
      <c r="K228" s="118">
        <f t="shared" si="9"/>
        <v>31.088950298369983</v>
      </c>
      <c r="L228" s="118">
        <f t="shared" si="11"/>
        <v>40.500145887193824</v>
      </c>
      <c r="M228" s="117" t="str">
        <f t="shared" si="10"/>
        <v>보통</v>
      </c>
    </row>
    <row r="229" spans="1:13" ht="15.95" customHeight="1" x14ac:dyDescent="0.3">
      <c r="A229" s="119">
        <v>216</v>
      </c>
      <c r="B229" s="119" t="str">
        <f>Stage!C254</f>
        <v>N 216</v>
      </c>
      <c r="C229" s="119">
        <f>Stage!F254</f>
        <v>165</v>
      </c>
      <c r="D229" s="119">
        <f>IF(Stage!G254="",0,LEN(TRIM(Stage!G254))-LEN(SUBSTITUTE(TRIM(Stage!G254),",",""))+1)</f>
        <v>3</v>
      </c>
      <c r="E229" s="119">
        <f>IF(ISERROR(FIND(",",Stage!H254)),VALUE(Stage!H254),(VALUE(LEFT(Stage!H254,FIND(",",Stage!H254)-1))+VALUE(TRIM(MID(Stage!H254,FIND("|",SUBSTITUTE(Stage!H254,",","|",LEN(Stage!H254)-LEN(SUBSTITUTE(Stage!H254,",",""))))+1,100))))/2)</f>
        <v>2.5</v>
      </c>
      <c r="F229" s="119">
        <f>IF(ISERROR(FIND(",",Stage!I254)),VALUE(Stage!I254),(VALUE(LEFT(Stage!I254,FIND(",",Stage!I254)-1))+VALUE(TRIM(MID(Stage!I254,FIND("|",SUBSTITUTE(Stage!I254,",","|",LEN(Stage!I254)-LEN(SUBSTITUTE(Stage!I254,",",""))))+1,100))))/2)</f>
        <v>0.3</v>
      </c>
      <c r="G229" s="119">
        <f>IF(ISERROR(FIND(",",Stage!J254)),VALUE(Stage!J254),VALUE(LEFT(Stage!J254,FIND(",",Stage!J254)-1)))</f>
        <v>33</v>
      </c>
      <c r="H229" s="119">
        <f>IF(Stage!K254="",0,LEN(TRIM(Stage!K254))-LEN(SUBSTITUTE(TRIM(Stage!K254),",",""))+1)</f>
        <v>4</v>
      </c>
      <c r="I229" s="119">
        <f>Stage!O254+Stage!P254+Stage!N254+Stage!Q254+Stage!M254</f>
        <v>3</v>
      </c>
      <c r="J229" s="119">
        <f>IF(Stage!F254=0,0,I229/Stage!F254)</f>
        <v>1.8181818181818181E-2</v>
      </c>
      <c r="K229" s="120">
        <f t="shared" si="9"/>
        <v>41.845160726573674</v>
      </c>
      <c r="L229" s="120">
        <f t="shared" si="11"/>
        <v>42.025566863750214</v>
      </c>
      <c r="M229" s="119" t="str">
        <f t="shared" si="10"/>
        <v>보통</v>
      </c>
    </row>
    <row r="230" spans="1:13" ht="15.95" customHeight="1" x14ac:dyDescent="0.3">
      <c r="A230" s="117">
        <v>217</v>
      </c>
      <c r="B230" s="117" t="str">
        <f>Stage!C255</f>
        <v>N 217</v>
      </c>
      <c r="C230" s="117">
        <f>Stage!F255</f>
        <v>195</v>
      </c>
      <c r="D230" s="117">
        <f>IF(Stage!G255="",0,LEN(TRIM(Stage!G255))-LEN(SUBSTITUTE(TRIM(Stage!G255),",",""))+1)</f>
        <v>3</v>
      </c>
      <c r="E230" s="117">
        <f>IF(ISERROR(FIND(",",Stage!H255)),VALUE(Stage!H255),(VALUE(LEFT(Stage!H255,FIND(",",Stage!H255)-1))+VALUE(TRIM(MID(Stage!H255,FIND("|",SUBSTITUTE(Stage!H255,",","|",LEN(Stage!H255)-LEN(SUBSTITUTE(Stage!H255,",",""))))+1,100))))/2)</f>
        <v>3</v>
      </c>
      <c r="F230" s="117">
        <f>IF(ISERROR(FIND(",",Stage!I255)),VALUE(Stage!I255),(VALUE(LEFT(Stage!I255,FIND(",",Stage!I255)-1))+VALUE(TRIM(MID(Stage!I255,FIND("|",SUBSTITUTE(Stage!I255,",","|",LEN(Stage!I255)-LEN(SUBSTITUTE(Stage!I255,",",""))))+1,100))))/2)</f>
        <v>0.2</v>
      </c>
      <c r="G230" s="117">
        <f>IF(ISERROR(FIND(",",Stage!J255)),VALUE(Stage!J255),VALUE(LEFT(Stage!J255,FIND(",",Stage!J255)-1)))</f>
        <v>39</v>
      </c>
      <c r="H230" s="117">
        <f>IF(Stage!K255="",0,LEN(TRIM(Stage!K255))-LEN(SUBSTITUTE(TRIM(Stage!K255),",",""))+1)</f>
        <v>4</v>
      </c>
      <c r="I230" s="117">
        <f>Stage!O255+Stage!P255+Stage!N255+Stage!Q255+Stage!M255</f>
        <v>10</v>
      </c>
      <c r="J230" s="117">
        <f>IF(Stage!F255=0,0,I230/Stage!F255)</f>
        <v>5.128205128205128E-2</v>
      </c>
      <c r="K230" s="118">
        <f t="shared" si="9"/>
        <v>48.924789816295281</v>
      </c>
      <c r="L230" s="118">
        <f t="shared" si="11"/>
        <v>43.904416215894237</v>
      </c>
      <c r="M230" s="117" t="str">
        <f t="shared" si="10"/>
        <v>어려움</v>
      </c>
    </row>
    <row r="231" spans="1:13" ht="15.95" customHeight="1" x14ac:dyDescent="0.3">
      <c r="A231" s="119">
        <v>218</v>
      </c>
      <c r="B231" s="119" t="str">
        <f>Stage!C256</f>
        <v>N 218</v>
      </c>
      <c r="C231" s="119">
        <f>Stage!F256</f>
        <v>200</v>
      </c>
      <c r="D231" s="119">
        <f>IF(Stage!G256="",0,LEN(TRIM(Stage!G256))-LEN(SUBSTITUTE(TRIM(Stage!G256),",",""))+1)</f>
        <v>3</v>
      </c>
      <c r="E231" s="119">
        <f>IF(ISERROR(FIND(",",Stage!H256)),VALUE(Stage!H256),(VALUE(LEFT(Stage!H256,FIND(",",Stage!H256)-1))+VALUE(TRIM(MID(Stage!H256,FIND("|",SUBSTITUTE(Stage!H256,",","|",LEN(Stage!H256)-LEN(SUBSTITUTE(Stage!H256,",",""))))+1,100))))/2)</f>
        <v>3</v>
      </c>
      <c r="F231" s="119">
        <f>IF(ISERROR(FIND(",",Stage!I256)),VALUE(Stage!I256),(VALUE(LEFT(Stage!I256,FIND(",",Stage!I256)-1))+VALUE(TRIM(MID(Stage!I256,FIND("|",SUBSTITUTE(Stage!I256,",","|",LEN(Stage!I256)-LEN(SUBSTITUTE(Stage!I256,",",""))))+1,100))))/2)</f>
        <v>0.2</v>
      </c>
      <c r="G231" s="119">
        <f>IF(ISERROR(FIND(",",Stage!J256)),VALUE(Stage!J256),VALUE(LEFT(Stage!J256,FIND(",",Stage!J256)-1)))</f>
        <v>40</v>
      </c>
      <c r="H231" s="119">
        <f>IF(Stage!K256="",0,LEN(TRIM(Stage!K256))-LEN(SUBSTITUTE(TRIM(Stage!K256),",",""))+1)</f>
        <v>4</v>
      </c>
      <c r="I231" s="119">
        <f>Stage!O256+Stage!P256+Stage!N256+Stage!Q256+Stage!M256</f>
        <v>11</v>
      </c>
      <c r="J231" s="119">
        <f>IF(Stage!F256=0,0,I231/Stage!F256)</f>
        <v>5.5E-2</v>
      </c>
      <c r="K231" s="120">
        <f t="shared" si="9"/>
        <v>49.472265609355603</v>
      </c>
      <c r="L231" s="120">
        <f t="shared" si="11"/>
        <v>46.817948996542235</v>
      </c>
      <c r="M231" s="119" t="str">
        <f t="shared" si="10"/>
        <v>어려움</v>
      </c>
    </row>
    <row r="232" spans="1:13" ht="15.95" customHeight="1" x14ac:dyDescent="0.3">
      <c r="A232" s="117">
        <v>219</v>
      </c>
      <c r="B232" s="117" t="str">
        <f>Stage!C257</f>
        <v>N 219</v>
      </c>
      <c r="C232" s="117">
        <f>Stage!F257</f>
        <v>190</v>
      </c>
      <c r="D232" s="117">
        <f>IF(Stage!G257="",0,LEN(TRIM(Stage!G257))-LEN(SUBSTITUTE(TRIM(Stage!G257),",",""))+1)</f>
        <v>3</v>
      </c>
      <c r="E232" s="117">
        <f>IF(ISERROR(FIND(",",Stage!H257)),VALUE(Stage!H257),(VALUE(LEFT(Stage!H257,FIND(",",Stage!H257)-1))+VALUE(TRIM(MID(Stage!H257,FIND("|",SUBSTITUTE(Stage!H257,",","|",LEN(Stage!H257)-LEN(SUBSTITUTE(Stage!H257,",",""))))+1,100))))/2)</f>
        <v>3</v>
      </c>
      <c r="F232" s="117">
        <f>IF(ISERROR(FIND(",",Stage!I257)),VALUE(Stage!I257),(VALUE(LEFT(Stage!I257,FIND(",",Stage!I257)-1))+VALUE(TRIM(MID(Stage!I257,FIND("|",SUBSTITUTE(Stage!I257,",","|",LEN(Stage!I257)-LEN(SUBSTITUTE(Stage!I257,",",""))))+1,100))))/2)</f>
        <v>0.2</v>
      </c>
      <c r="G232" s="117">
        <f>IF(ISERROR(FIND(",",Stage!J257)),VALUE(Stage!J257),VALUE(LEFT(Stage!J257,FIND(",",Stage!J257)-1)))</f>
        <v>38</v>
      </c>
      <c r="H232" s="117">
        <f>IF(Stage!K257="",0,LEN(TRIM(Stage!K257))-LEN(SUBSTITUTE(TRIM(Stage!K257),",",""))+1)</f>
        <v>4</v>
      </c>
      <c r="I232" s="117">
        <f>Stage!O257+Stage!P257+Stage!N257+Stage!Q257+Stage!M257</f>
        <v>8</v>
      </c>
      <c r="J232" s="117">
        <f>IF(Stage!F257=0,0,I232/Stage!F257)</f>
        <v>4.2105263157894736E-2</v>
      </c>
      <c r="K232" s="118">
        <f t="shared" si="9"/>
        <v>48.190914628876648</v>
      </c>
      <c r="L232" s="118">
        <f t="shared" si="11"/>
        <v>48.343369973098618</v>
      </c>
      <c r="M232" s="117" t="str">
        <f t="shared" si="10"/>
        <v>어려움</v>
      </c>
    </row>
    <row r="233" spans="1:13" ht="15.95" customHeight="1" x14ac:dyDescent="0.3">
      <c r="A233" s="119">
        <v>220</v>
      </c>
      <c r="B233" s="119" t="str">
        <f>Stage!C258</f>
        <v>N 220</v>
      </c>
      <c r="C233" s="119">
        <f>Stage!F258</f>
        <v>180</v>
      </c>
      <c r="D233" s="119">
        <f>IF(Stage!G258="",0,LEN(TRIM(Stage!G258))-LEN(SUBSTITUTE(TRIM(Stage!G258),",",""))+1)</f>
        <v>3</v>
      </c>
      <c r="E233" s="119">
        <f>IF(ISERROR(FIND(",",Stage!H258)),VALUE(Stage!H258),(VALUE(LEFT(Stage!H258,FIND(",",Stage!H258)-1))+VALUE(TRIM(MID(Stage!H258,FIND("|",SUBSTITUTE(Stage!H258,",","|",LEN(Stage!H258)-LEN(SUBSTITUTE(Stage!H258,",",""))))+1,100))))/2)</f>
        <v>3</v>
      </c>
      <c r="F233" s="119">
        <f>IF(ISERROR(FIND(",",Stage!I258)),VALUE(Stage!I258),(VALUE(LEFT(Stage!I258,FIND(",",Stage!I258)-1))+VALUE(TRIM(MID(Stage!I258,FIND("|",SUBSTITUTE(Stage!I258,",","|",LEN(Stage!I258)-LEN(SUBSTITUTE(Stage!I258,",",""))))+1,100))))/2)</f>
        <v>0.3</v>
      </c>
      <c r="G233" s="119">
        <f>IF(ISERROR(FIND(",",Stage!J258)),VALUE(Stage!J258),VALUE(LEFT(Stage!J258,FIND(",",Stage!J258)-1)))</f>
        <v>36</v>
      </c>
      <c r="H233" s="119">
        <f>IF(Stage!K258="",0,LEN(TRIM(Stage!K258))-LEN(SUBSTITUTE(TRIM(Stage!K258),",",""))+1)</f>
        <v>4</v>
      </c>
      <c r="I233" s="119">
        <f>Stage!O258+Stage!P258+Stage!N258+Stage!Q258+Stage!M258</f>
        <v>6</v>
      </c>
      <c r="J233" s="119">
        <f>IF(Stage!F258=0,0,I233/Stage!F258)</f>
        <v>3.3333333333333333E-2</v>
      </c>
      <c r="K233" s="120">
        <f t="shared" si="9"/>
        <v>45.65661420160999</v>
      </c>
      <c r="L233" s="120">
        <f t="shared" si="11"/>
        <v>48.452865131710688</v>
      </c>
      <c r="M233" s="119" t="str">
        <f t="shared" si="10"/>
        <v>어려움</v>
      </c>
    </row>
    <row r="234" spans="1:13" ht="15.95" customHeight="1" x14ac:dyDescent="0.3">
      <c r="A234" s="117">
        <v>221</v>
      </c>
      <c r="B234" s="117" t="str">
        <f>Stage!C259</f>
        <v>N 221</v>
      </c>
      <c r="C234" s="117">
        <f>Stage!F259</f>
        <v>200</v>
      </c>
      <c r="D234" s="117">
        <f>IF(Stage!G259="",0,LEN(TRIM(Stage!G259))-LEN(SUBSTITUTE(TRIM(Stage!G259),",",""))+1)</f>
        <v>3</v>
      </c>
      <c r="E234" s="117">
        <f>IF(ISERROR(FIND(",",Stage!H259)),VALUE(Stage!H259),(VALUE(LEFT(Stage!H259,FIND(",",Stage!H259)-1))+VALUE(TRIM(MID(Stage!H259,FIND("|",SUBSTITUTE(Stage!H259,",","|",LEN(Stage!H259)-LEN(SUBSTITUTE(Stage!H259,",",""))))+1,100))))/2)</f>
        <v>3</v>
      </c>
      <c r="F234" s="117">
        <f>IF(ISERROR(FIND(",",Stage!I259)),VALUE(Stage!I259),(VALUE(LEFT(Stage!I259,FIND(",",Stage!I259)-1))+VALUE(TRIM(MID(Stage!I259,FIND("|",SUBSTITUTE(Stage!I259,",","|",LEN(Stage!I259)-LEN(SUBSTITUTE(Stage!I259,",",""))))+1,100))))/2)</f>
        <v>0.2</v>
      </c>
      <c r="G234" s="117">
        <f>IF(ISERROR(FIND(",",Stage!J259)),VALUE(Stage!J259),VALUE(LEFT(Stage!J259,FIND(",",Stage!J259)-1)))</f>
        <v>40</v>
      </c>
      <c r="H234" s="117">
        <f>IF(Stage!K259="",0,LEN(TRIM(Stage!K259))-LEN(SUBSTITUTE(TRIM(Stage!K259),",",""))+1)</f>
        <v>4</v>
      </c>
      <c r="I234" s="117">
        <f>Stage!O259+Stage!P259+Stage!N259+Stage!Q259+Stage!M259</f>
        <v>11</v>
      </c>
      <c r="J234" s="117">
        <f>IF(Stage!F259=0,0,I234/Stage!F259)</f>
        <v>5.5E-2</v>
      </c>
      <c r="K234" s="118">
        <f t="shared" si="9"/>
        <v>49.472265609355603</v>
      </c>
      <c r="L234" s="118">
        <f t="shared" si="11"/>
        <v>46.927444155154305</v>
      </c>
      <c r="M234" s="117" t="str">
        <f t="shared" si="10"/>
        <v>어려움</v>
      </c>
    </row>
    <row r="235" spans="1:13" ht="15.95" customHeight="1" x14ac:dyDescent="0.3">
      <c r="A235" s="119">
        <v>222</v>
      </c>
      <c r="B235" s="119" t="str">
        <f>Stage!C260</f>
        <v>N 222</v>
      </c>
      <c r="C235" s="119">
        <f>Stage!F260</f>
        <v>200</v>
      </c>
      <c r="D235" s="119">
        <f>IF(Stage!G260="",0,LEN(TRIM(Stage!G260))-LEN(SUBSTITUTE(TRIM(Stage!G260),",",""))+1)</f>
        <v>3</v>
      </c>
      <c r="E235" s="119">
        <f>IF(ISERROR(FIND(",",Stage!H260)),VALUE(Stage!H260),(VALUE(LEFT(Stage!H260,FIND(",",Stage!H260)-1))+VALUE(TRIM(MID(Stage!H260,FIND("|",SUBSTITUTE(Stage!H260,",","|",LEN(Stage!H260)-LEN(SUBSTITUTE(Stage!H260,",",""))))+1,100))))/2)</f>
        <v>3</v>
      </c>
      <c r="F235" s="119">
        <f>IF(ISERROR(FIND(",",Stage!I260)),VALUE(Stage!I260),(VALUE(LEFT(Stage!I260,FIND(",",Stage!I260)-1))+VALUE(TRIM(MID(Stage!I260,FIND("|",SUBSTITUTE(Stage!I260,",","|",LEN(Stage!I260)-LEN(SUBSTITUTE(Stage!I260,",",""))))+1,100))))/2)</f>
        <v>0.2</v>
      </c>
      <c r="G235" s="119">
        <f>IF(ISERROR(FIND(",",Stage!J260)),VALUE(Stage!J260),VALUE(LEFT(Stage!J260,FIND(",",Stage!J260)-1)))</f>
        <v>40</v>
      </c>
      <c r="H235" s="119">
        <f>IF(Stage!K260="",0,LEN(TRIM(Stage!K260))-LEN(SUBSTITUTE(TRIM(Stage!K260),",",""))+1)</f>
        <v>4</v>
      </c>
      <c r="I235" s="119">
        <f>Stage!O260+Stage!P260+Stage!N260+Stage!Q260+Stage!M260</f>
        <v>11</v>
      </c>
      <c r="J235" s="119">
        <f>IF(Stage!F260=0,0,I235/Stage!F260)</f>
        <v>5.5E-2</v>
      </c>
      <c r="K235" s="120">
        <f t="shared" si="9"/>
        <v>49.472265609355603</v>
      </c>
      <c r="L235" s="120">
        <f t="shared" si="11"/>
        <v>47.074219192638033</v>
      </c>
      <c r="M235" s="119" t="str">
        <f t="shared" si="10"/>
        <v>어려움</v>
      </c>
    </row>
    <row r="236" spans="1:13" ht="15.95" customHeight="1" x14ac:dyDescent="0.3">
      <c r="A236" s="117">
        <v>223</v>
      </c>
      <c r="B236" s="117" t="str">
        <f>Stage!C261</f>
        <v>N 223</v>
      </c>
      <c r="C236" s="117">
        <f>Stage!F261</f>
        <v>165</v>
      </c>
      <c r="D236" s="117">
        <f>IF(Stage!G261="",0,LEN(TRIM(Stage!G261))-LEN(SUBSTITUTE(TRIM(Stage!G261),",",""))+1)</f>
        <v>3</v>
      </c>
      <c r="E236" s="117">
        <f>IF(ISERROR(FIND(",",Stage!H261)),VALUE(Stage!H261),(VALUE(LEFT(Stage!H261,FIND(",",Stage!H261)-1))+VALUE(TRIM(MID(Stage!H261,FIND("|",SUBSTITUTE(Stage!H261,",","|",LEN(Stage!H261)-LEN(SUBSTITUTE(Stage!H261,",",""))))+1,100))))/2)</f>
        <v>2.5</v>
      </c>
      <c r="F236" s="117">
        <f>IF(ISERROR(FIND(",",Stage!I261)),VALUE(Stage!I261),(VALUE(LEFT(Stage!I261,FIND(",",Stage!I261)-1))+VALUE(TRIM(MID(Stage!I261,FIND("|",SUBSTITUTE(Stage!I261,",","|",LEN(Stage!I261)-LEN(SUBSTITUTE(Stage!I261,",",""))))+1,100))))/2)</f>
        <v>0.3</v>
      </c>
      <c r="G236" s="117">
        <f>IF(ISERROR(FIND(",",Stage!J261)),VALUE(Stage!J261),VALUE(LEFT(Stage!J261,FIND(",",Stage!J261)-1)))</f>
        <v>33</v>
      </c>
      <c r="H236" s="117">
        <f>IF(Stage!K261="",0,LEN(TRIM(Stage!K261))-LEN(SUBSTITUTE(TRIM(Stage!K261),",",""))+1)</f>
        <v>4</v>
      </c>
      <c r="I236" s="117">
        <f>Stage!O261+Stage!P261+Stage!N261+Stage!Q261+Stage!M261</f>
        <v>3</v>
      </c>
      <c r="J236" s="117">
        <f>IF(Stage!F261=0,0,I236/Stage!F261)</f>
        <v>1.8181818181818181E-2</v>
      </c>
      <c r="K236" s="118">
        <f t="shared" si="9"/>
        <v>41.845160726573674</v>
      </c>
      <c r="L236" s="118">
        <f t="shared" si="11"/>
        <v>47.581079278091366</v>
      </c>
      <c r="M236" s="117" t="str">
        <f t="shared" si="10"/>
        <v>보통</v>
      </c>
    </row>
    <row r="237" spans="1:13" ht="15.95" customHeight="1" x14ac:dyDescent="0.3">
      <c r="A237" s="119">
        <v>224</v>
      </c>
      <c r="B237" s="119" t="str">
        <f>Stage!C262</f>
        <v>N 224</v>
      </c>
      <c r="C237" s="119">
        <f>Stage!F262</f>
        <v>195</v>
      </c>
      <c r="D237" s="119">
        <f>IF(Stage!G262="",0,LEN(TRIM(Stage!G262))-LEN(SUBSTITUTE(TRIM(Stage!G262),",",""))+1)</f>
        <v>3</v>
      </c>
      <c r="E237" s="119">
        <f>IF(ISERROR(FIND(",",Stage!H262)),VALUE(Stage!H262),(VALUE(LEFT(Stage!H262,FIND(",",Stage!H262)-1))+VALUE(TRIM(MID(Stage!H262,FIND("|",SUBSTITUTE(Stage!H262,",","|",LEN(Stage!H262)-LEN(SUBSTITUTE(Stage!H262,",",""))))+1,100))))/2)</f>
        <v>3</v>
      </c>
      <c r="F237" s="119">
        <f>IF(ISERROR(FIND(",",Stage!I262)),VALUE(Stage!I262),(VALUE(LEFT(Stage!I262,FIND(",",Stage!I262)-1))+VALUE(TRIM(MID(Stage!I262,FIND("|",SUBSTITUTE(Stage!I262,",","|",LEN(Stage!I262)-LEN(SUBSTITUTE(Stage!I262,",",""))))+1,100))))/2)</f>
        <v>0.2</v>
      </c>
      <c r="G237" s="119">
        <f>IF(ISERROR(FIND(",",Stage!J262)),VALUE(Stage!J262),VALUE(LEFT(Stage!J262,FIND(",",Stage!J262)-1)))</f>
        <v>39</v>
      </c>
      <c r="H237" s="119">
        <f>IF(Stage!K262="",0,LEN(TRIM(Stage!K262))-LEN(SUBSTITUTE(TRIM(Stage!K262),",",""))+1)</f>
        <v>4</v>
      </c>
      <c r="I237" s="119">
        <f>Stage!O262+Stage!P262+Stage!N262+Stage!Q262+Stage!M262</f>
        <v>10</v>
      </c>
      <c r="J237" s="119">
        <f>IF(Stage!F262=0,0,I237/Stage!F262)</f>
        <v>5.128205128205128E-2</v>
      </c>
      <c r="K237" s="120">
        <f t="shared" si="9"/>
        <v>48.924789816295281</v>
      </c>
      <c r="L237" s="120">
        <f t="shared" si="11"/>
        <v>47.211561400247163</v>
      </c>
      <c r="M237" s="119" t="str">
        <f t="shared" si="10"/>
        <v>어려움</v>
      </c>
    </row>
    <row r="238" spans="1:13" ht="15.95" customHeight="1" x14ac:dyDescent="0.3">
      <c r="A238" s="117">
        <v>225</v>
      </c>
      <c r="B238" s="117" t="str">
        <f>Stage!C263</f>
        <v>N 225</v>
      </c>
      <c r="C238" s="117">
        <f>Stage!F263</f>
        <v>190</v>
      </c>
      <c r="D238" s="117">
        <f>IF(Stage!G263="",0,LEN(TRIM(Stage!G263))-LEN(SUBSTITUTE(TRIM(Stage!G263),",",""))+1)</f>
        <v>3</v>
      </c>
      <c r="E238" s="117">
        <f>IF(ISERROR(FIND(",",Stage!H263)),VALUE(Stage!H263),(VALUE(LEFT(Stage!H263,FIND(",",Stage!H263)-1))+VALUE(TRIM(MID(Stage!H263,FIND("|",SUBSTITUTE(Stage!H263,",","|",LEN(Stage!H263)-LEN(SUBSTITUTE(Stage!H263,",",""))))+1,100))))/2)</f>
        <v>3</v>
      </c>
      <c r="F238" s="117">
        <f>IF(ISERROR(FIND(",",Stage!I263)),VALUE(Stage!I263),(VALUE(LEFT(Stage!I263,FIND(",",Stage!I263)-1))+VALUE(TRIM(MID(Stage!I263,FIND("|",SUBSTITUTE(Stage!I263,",","|",LEN(Stage!I263)-LEN(SUBSTITUTE(Stage!I263,",",""))))+1,100))))/2)</f>
        <v>0.2</v>
      </c>
      <c r="G238" s="117">
        <f>IF(ISERROR(FIND(",",Stage!J263)),VALUE(Stage!J263),VALUE(LEFT(Stage!J263,FIND(",",Stage!J263)-1)))</f>
        <v>38</v>
      </c>
      <c r="H238" s="117">
        <f>IF(Stage!K263="",0,LEN(TRIM(Stage!K263))-LEN(SUBSTITUTE(TRIM(Stage!K263),",",""))+1)</f>
        <v>4</v>
      </c>
      <c r="I238" s="117">
        <f>Stage!O263+Stage!P263+Stage!N263+Stage!Q263+Stage!M263</f>
        <v>8</v>
      </c>
      <c r="J238" s="117">
        <f>IF(Stage!F263=0,0,I238/Stage!F263)</f>
        <v>4.2105263157894736E-2</v>
      </c>
      <c r="K238" s="118">
        <f t="shared" si="9"/>
        <v>48.190914628876648</v>
      </c>
      <c r="L238" s="118">
        <f t="shared" si="11"/>
        <v>46.955291204151372</v>
      </c>
      <c r="M238" s="117" t="str">
        <f t="shared" si="10"/>
        <v>어려움</v>
      </c>
    </row>
    <row r="239" spans="1:13" ht="15.95" customHeight="1" x14ac:dyDescent="0.3">
      <c r="A239" s="119">
        <v>226</v>
      </c>
      <c r="B239" s="119" t="str">
        <f>Stage!C264</f>
        <v>N 226</v>
      </c>
      <c r="C239" s="119">
        <f>Stage!F264</f>
        <v>185</v>
      </c>
      <c r="D239" s="119">
        <f>IF(Stage!G264="",0,LEN(TRIM(Stage!G264))-LEN(SUBSTITUTE(TRIM(Stage!G264),",",""))+1)</f>
        <v>3</v>
      </c>
      <c r="E239" s="119">
        <f>IF(ISERROR(FIND(",",Stage!H264)),VALUE(Stage!H264),(VALUE(LEFT(Stage!H264,FIND(",",Stage!H264)-1))+VALUE(TRIM(MID(Stage!H264,FIND("|",SUBSTITUTE(Stage!H264,",","|",LEN(Stage!H264)-LEN(SUBSTITUTE(Stage!H264,",",""))))+1,100))))/2)</f>
        <v>3</v>
      </c>
      <c r="F239" s="119">
        <f>IF(ISERROR(FIND(",",Stage!I264)),VALUE(Stage!I264),(VALUE(LEFT(Stage!I264,FIND(",",Stage!I264)-1))+VALUE(TRIM(MID(Stage!I264,FIND("|",SUBSTITUTE(Stage!I264,",","|",LEN(Stage!I264)-LEN(SUBSTITUTE(Stage!I264,",",""))))+1,100))))/2)</f>
        <v>0.2</v>
      </c>
      <c r="G239" s="119">
        <f>IF(ISERROR(FIND(",",Stage!J264)),VALUE(Stage!J264),VALUE(LEFT(Stage!J264,FIND(",",Stage!J264)-1)))</f>
        <v>37</v>
      </c>
      <c r="H239" s="119">
        <f>IF(Stage!K264="",0,LEN(TRIM(Stage!K264))-LEN(SUBSTITUTE(TRIM(Stage!K264),",",""))+1)</f>
        <v>4</v>
      </c>
      <c r="I239" s="119">
        <f>Stage!O264+Stage!P264+Stage!N264+Stage!Q264+Stage!M264</f>
        <v>7</v>
      </c>
      <c r="J239" s="119">
        <f>IF(Stage!F264=0,0,I239/Stage!F264)</f>
        <v>3.783783783783784E-2</v>
      </c>
      <c r="K239" s="120">
        <f t="shared" si="9"/>
        <v>47.624676220134596</v>
      </c>
      <c r="L239" s="120">
        <f t="shared" si="11"/>
        <v>48.480712180707755</v>
      </c>
      <c r="M239" s="119" t="str">
        <f t="shared" si="10"/>
        <v>어려움</v>
      </c>
    </row>
    <row r="240" spans="1:13" ht="15.95" customHeight="1" x14ac:dyDescent="0.3">
      <c r="A240" s="117">
        <v>227</v>
      </c>
      <c r="B240" s="117" t="str">
        <f>Stage!C265</f>
        <v>N 227</v>
      </c>
      <c r="C240" s="117">
        <f>Stage!F265</f>
        <v>190</v>
      </c>
      <c r="D240" s="117">
        <f>IF(Stage!G265="",0,LEN(TRIM(Stage!G265))-LEN(SUBSTITUTE(TRIM(Stage!G265),",",""))+1)</f>
        <v>3</v>
      </c>
      <c r="E240" s="117">
        <f>IF(ISERROR(FIND(",",Stage!H265)),VALUE(Stage!H265),(VALUE(LEFT(Stage!H265,FIND(",",Stage!H265)-1))+VALUE(TRIM(MID(Stage!H265,FIND("|",SUBSTITUTE(Stage!H265,",","|",LEN(Stage!H265)-LEN(SUBSTITUTE(Stage!H265,",",""))))+1,100))))/2)</f>
        <v>3</v>
      </c>
      <c r="F240" s="117">
        <f>IF(ISERROR(FIND(",",Stage!I265)),VALUE(Stage!I265),(VALUE(LEFT(Stage!I265,FIND(",",Stage!I265)-1))+VALUE(TRIM(MID(Stage!I265,FIND("|",SUBSTITUTE(Stage!I265,",","|",LEN(Stage!I265)-LEN(SUBSTITUTE(Stage!I265,",",""))))+1,100))))/2)</f>
        <v>0.2</v>
      </c>
      <c r="G240" s="117">
        <f>IF(ISERROR(FIND(",",Stage!J265)),VALUE(Stage!J265),VALUE(LEFT(Stage!J265,FIND(",",Stage!J265)-1)))</f>
        <v>38</v>
      </c>
      <c r="H240" s="117">
        <f>IF(Stage!K265="",0,LEN(TRIM(Stage!K265))-LEN(SUBSTITUTE(TRIM(Stage!K265),",",""))+1)</f>
        <v>4</v>
      </c>
      <c r="I240" s="117">
        <f>Stage!O265+Stage!P265+Stage!N265+Stage!Q265+Stage!M265</f>
        <v>8</v>
      </c>
      <c r="J240" s="117">
        <f>IF(Stage!F265=0,0,I240/Stage!F265)</f>
        <v>4.2105263157894736E-2</v>
      </c>
      <c r="K240" s="118">
        <f t="shared" si="9"/>
        <v>48.190914628876648</v>
      </c>
      <c r="L240" s="118">
        <f t="shared" si="11"/>
        <v>48.220689461475622</v>
      </c>
      <c r="M240" s="117" t="str">
        <f t="shared" si="10"/>
        <v>어려움</v>
      </c>
    </row>
    <row r="241" spans="1:13" ht="15.95" customHeight="1" x14ac:dyDescent="0.3">
      <c r="A241" s="119">
        <v>228</v>
      </c>
      <c r="B241" s="119" t="str">
        <f>Stage!C266</f>
        <v>N 228</v>
      </c>
      <c r="C241" s="119">
        <f>Stage!F266</f>
        <v>200</v>
      </c>
      <c r="D241" s="119">
        <f>IF(Stage!G266="",0,LEN(TRIM(Stage!G266))-LEN(SUBSTITUTE(TRIM(Stage!G266),",",""))+1)</f>
        <v>3</v>
      </c>
      <c r="E241" s="119">
        <f>IF(ISERROR(FIND(",",Stage!H266)),VALUE(Stage!H266),(VALUE(LEFT(Stage!H266,FIND(",",Stage!H266)-1))+VALUE(TRIM(MID(Stage!H266,FIND("|",SUBSTITUTE(Stage!H266,",","|",LEN(Stage!H266)-LEN(SUBSTITUTE(Stage!H266,",",""))))+1,100))))/2)</f>
        <v>3</v>
      </c>
      <c r="F241" s="119">
        <f>IF(ISERROR(FIND(",",Stage!I266)),VALUE(Stage!I266),(VALUE(LEFT(Stage!I266,FIND(",",Stage!I266)-1))+VALUE(TRIM(MID(Stage!I266,FIND("|",SUBSTITUTE(Stage!I266,",","|",LEN(Stage!I266)-LEN(SUBSTITUTE(Stage!I266,",",""))))+1,100))))/2)</f>
        <v>0.2</v>
      </c>
      <c r="G241" s="119">
        <f>IF(ISERROR(FIND(",",Stage!J266)),VALUE(Stage!J266),VALUE(LEFT(Stage!J266,FIND(",",Stage!J266)-1)))</f>
        <v>40</v>
      </c>
      <c r="H241" s="119">
        <f>IF(Stage!K266="",0,LEN(TRIM(Stage!K266))-LEN(SUBSTITUTE(TRIM(Stage!K266),",",""))+1)</f>
        <v>4</v>
      </c>
      <c r="I241" s="119">
        <f>Stage!O266+Stage!P266+Stage!N266+Stage!Q266+Stage!M266</f>
        <v>11</v>
      </c>
      <c r="J241" s="119">
        <f>IF(Stage!F266=0,0,I241/Stage!F266)</f>
        <v>5.5E-2</v>
      </c>
      <c r="K241" s="120">
        <f t="shared" si="9"/>
        <v>49.472265609355603</v>
      </c>
      <c r="L241" s="120">
        <f t="shared" si="11"/>
        <v>48.476959657571413</v>
      </c>
      <c r="M241" s="119" t="str">
        <f t="shared" si="10"/>
        <v>어려움</v>
      </c>
    </row>
    <row r="242" spans="1:13" ht="15.95" customHeight="1" x14ac:dyDescent="0.3">
      <c r="A242" s="117">
        <v>229</v>
      </c>
      <c r="B242" s="117" t="str">
        <f>Stage!C267</f>
        <v>N 229</v>
      </c>
      <c r="C242" s="117">
        <f>Stage!F267</f>
        <v>185</v>
      </c>
      <c r="D242" s="117">
        <f>IF(Stage!G267="",0,LEN(TRIM(Stage!G267))-LEN(SUBSTITUTE(TRIM(Stage!G267),",",""))+1)</f>
        <v>3</v>
      </c>
      <c r="E242" s="117">
        <f>IF(ISERROR(FIND(",",Stage!H267)),VALUE(Stage!H267),(VALUE(LEFT(Stage!H267,FIND(",",Stage!H267)-1))+VALUE(TRIM(MID(Stage!H267,FIND("|",SUBSTITUTE(Stage!H267,",","|",LEN(Stage!H267)-LEN(SUBSTITUTE(Stage!H267,",",""))))+1,100))))/2)</f>
        <v>3</v>
      </c>
      <c r="F242" s="117">
        <f>IF(ISERROR(FIND(",",Stage!I267)),VALUE(Stage!I267),(VALUE(LEFT(Stage!I267,FIND(",",Stage!I267)-1))+VALUE(TRIM(MID(Stage!I267,FIND("|",SUBSTITUTE(Stage!I267,",","|",LEN(Stage!I267)-LEN(SUBSTITUTE(Stage!I267,",",""))))+1,100))))/2)</f>
        <v>0.2</v>
      </c>
      <c r="G242" s="117">
        <f>IF(ISERROR(FIND(",",Stage!J267)),VALUE(Stage!J267),VALUE(LEFT(Stage!J267,FIND(",",Stage!J267)-1)))</f>
        <v>37</v>
      </c>
      <c r="H242" s="117">
        <f>IF(Stage!K267="",0,LEN(TRIM(Stage!K267))-LEN(SUBSTITUTE(TRIM(Stage!K267),",",""))+1)</f>
        <v>4</v>
      </c>
      <c r="I242" s="117">
        <f>Stage!O267+Stage!P267+Stage!N267+Stage!Q267+Stage!M267</f>
        <v>7</v>
      </c>
      <c r="J242" s="117">
        <f>IF(Stage!F267=0,0,I242/Stage!F267)</f>
        <v>3.783783783783784E-2</v>
      </c>
      <c r="K242" s="118">
        <f t="shared" si="9"/>
        <v>47.624676220134596</v>
      </c>
      <c r="L242" s="118">
        <f t="shared" si="11"/>
        <v>47.321056558859233</v>
      </c>
      <c r="M242" s="117" t="str">
        <f t="shared" si="10"/>
        <v>어려움</v>
      </c>
    </row>
    <row r="243" spans="1:13" ht="15.95" customHeight="1" x14ac:dyDescent="0.3">
      <c r="A243" s="119">
        <v>230</v>
      </c>
      <c r="B243" s="119" t="str">
        <f>Stage!C268</f>
        <v>N 230</v>
      </c>
      <c r="C243" s="119">
        <f>Stage!F268</f>
        <v>200</v>
      </c>
      <c r="D243" s="119">
        <f>IF(Stage!G268="",0,LEN(TRIM(Stage!G268))-LEN(SUBSTITUTE(TRIM(Stage!G268),",",""))+1)</f>
        <v>3</v>
      </c>
      <c r="E243" s="119">
        <f>IF(ISERROR(FIND(",",Stage!H268)),VALUE(Stage!H268),(VALUE(LEFT(Stage!H268,FIND(",",Stage!H268)-1))+VALUE(TRIM(MID(Stage!H268,FIND("|",SUBSTITUTE(Stage!H268,",","|",LEN(Stage!H268)-LEN(SUBSTITUTE(Stage!H268,",",""))))+1,100))))/2)</f>
        <v>3</v>
      </c>
      <c r="F243" s="119">
        <f>IF(ISERROR(FIND(",",Stage!I268)),VALUE(Stage!I268),(VALUE(LEFT(Stage!I268,FIND(",",Stage!I268)-1))+VALUE(TRIM(MID(Stage!I268,FIND("|",SUBSTITUTE(Stage!I268,",","|",LEN(Stage!I268)-LEN(SUBSTITUTE(Stage!I268,",",""))))+1,100))))/2)</f>
        <v>0.2</v>
      </c>
      <c r="G243" s="119">
        <f>IF(ISERROR(FIND(",",Stage!J268)),VALUE(Stage!J268),VALUE(LEFT(Stage!J268,FIND(",",Stage!J268)-1)))</f>
        <v>40</v>
      </c>
      <c r="H243" s="119">
        <f>IF(Stage!K268="",0,LEN(TRIM(Stage!K268))-LEN(SUBSTITUTE(TRIM(Stage!K268),",",""))+1)</f>
        <v>4</v>
      </c>
      <c r="I243" s="119">
        <f>Stage!O268+Stage!P268+Stage!N268+Stage!Q268+Stage!M268</f>
        <v>11</v>
      </c>
      <c r="J243" s="119">
        <f>IF(Stage!F268=0,0,I243/Stage!F268)</f>
        <v>5.5E-2</v>
      </c>
      <c r="K243" s="120">
        <f t="shared" si="9"/>
        <v>49.472265609355603</v>
      </c>
      <c r="L243" s="120">
        <f t="shared" si="11"/>
        <v>47.577326754955017</v>
      </c>
      <c r="M243" s="119" t="str">
        <f t="shared" si="10"/>
        <v>어려움</v>
      </c>
    </row>
    <row r="244" spans="1:13" ht="15.95" customHeight="1" x14ac:dyDescent="0.3">
      <c r="A244" s="117">
        <v>231</v>
      </c>
      <c r="B244" s="117" t="str">
        <f>Stage!C269</f>
        <v>N 231</v>
      </c>
      <c r="C244" s="117">
        <f>Stage!F269</f>
        <v>165</v>
      </c>
      <c r="D244" s="117">
        <f>IF(Stage!G269="",0,LEN(TRIM(Stage!G269))-LEN(SUBSTITUTE(TRIM(Stage!G269),",",""))+1)</f>
        <v>3</v>
      </c>
      <c r="E244" s="117">
        <f>IF(ISERROR(FIND(",",Stage!H269)),VALUE(Stage!H269),(VALUE(LEFT(Stage!H269,FIND(",",Stage!H269)-1))+VALUE(TRIM(MID(Stage!H269,FIND("|",SUBSTITUTE(Stage!H269,",","|",LEN(Stage!H269)-LEN(SUBSTITUTE(Stage!H269,",",""))))+1,100))))/2)</f>
        <v>2.5</v>
      </c>
      <c r="F244" s="117">
        <f>IF(ISERROR(FIND(",",Stage!I269)),VALUE(Stage!I269),(VALUE(LEFT(Stage!I269,FIND(",",Stage!I269)-1))+VALUE(TRIM(MID(Stage!I269,FIND("|",SUBSTITUTE(Stage!I269,",","|",LEN(Stage!I269)-LEN(SUBSTITUTE(Stage!I269,",",""))))+1,100))))/2)</f>
        <v>0.3</v>
      </c>
      <c r="G244" s="117">
        <f>IF(ISERROR(FIND(",",Stage!J269)),VALUE(Stage!J269),VALUE(LEFT(Stage!J269,FIND(",",Stage!J269)-1)))</f>
        <v>33</v>
      </c>
      <c r="H244" s="117">
        <f>IF(Stage!K269="",0,LEN(TRIM(Stage!K269))-LEN(SUBSTITUTE(TRIM(Stage!K269),",",""))+1)</f>
        <v>4</v>
      </c>
      <c r="I244" s="117">
        <f>Stage!O269+Stage!P269+Stage!N269+Stage!Q269+Stage!M269</f>
        <v>3</v>
      </c>
      <c r="J244" s="117">
        <f>IF(Stage!F269=0,0,I244/Stage!F269)</f>
        <v>1.8181818181818181E-2</v>
      </c>
      <c r="K244" s="118">
        <f t="shared" si="9"/>
        <v>41.845160726573674</v>
      </c>
      <c r="L244" s="118">
        <f t="shared" si="11"/>
        <v>46.7762560940021</v>
      </c>
      <c r="M244" s="117" t="str">
        <f t="shared" si="10"/>
        <v>보통</v>
      </c>
    </row>
    <row r="245" spans="1:13" ht="15.95" customHeight="1" x14ac:dyDescent="0.3">
      <c r="A245" s="119">
        <v>232</v>
      </c>
      <c r="B245" s="119" t="str">
        <f>Stage!C270</f>
        <v>N 232</v>
      </c>
      <c r="C245" s="119">
        <f>Stage!F270</f>
        <v>200</v>
      </c>
      <c r="D245" s="119">
        <f>IF(Stage!G270="",0,LEN(TRIM(Stage!G270))-LEN(SUBSTITUTE(TRIM(Stage!G270),",",""))+1)</f>
        <v>3</v>
      </c>
      <c r="E245" s="119">
        <f>IF(ISERROR(FIND(",",Stage!H270)),VALUE(Stage!H270),(VALUE(LEFT(Stage!H270,FIND(",",Stage!H270)-1))+VALUE(TRIM(MID(Stage!H270,FIND("|",SUBSTITUTE(Stage!H270,",","|",LEN(Stage!H270)-LEN(SUBSTITUTE(Stage!H270,",",""))))+1,100))))/2)</f>
        <v>3</v>
      </c>
      <c r="F245" s="119">
        <f>IF(ISERROR(FIND(",",Stage!I270)),VALUE(Stage!I270),(VALUE(LEFT(Stage!I270,FIND(",",Stage!I270)-1))+VALUE(TRIM(MID(Stage!I270,FIND("|",SUBSTITUTE(Stage!I270,",","|",LEN(Stage!I270)-LEN(SUBSTITUTE(Stage!I270,",",""))))+1,100))))/2)</f>
        <v>0.2</v>
      </c>
      <c r="G245" s="119">
        <f>IF(ISERROR(FIND(",",Stage!J270)),VALUE(Stage!J270),VALUE(LEFT(Stage!J270,FIND(",",Stage!J270)-1)))</f>
        <v>40</v>
      </c>
      <c r="H245" s="119">
        <f>IF(Stage!K270="",0,LEN(TRIM(Stage!K270))-LEN(SUBSTITUTE(TRIM(Stage!K270),",",""))+1)</f>
        <v>4</v>
      </c>
      <c r="I245" s="119">
        <f>Stage!O270+Stage!P270+Stage!N270+Stage!Q270+Stage!M270</f>
        <v>11</v>
      </c>
      <c r="J245" s="119">
        <f>IF(Stage!F270=0,0,I245/Stage!F270)</f>
        <v>5.5E-2</v>
      </c>
      <c r="K245" s="120">
        <f t="shared" si="9"/>
        <v>49.472265609355603</v>
      </c>
      <c r="L245" s="120">
        <f t="shared" si="11"/>
        <v>45.620352995289906</v>
      </c>
      <c r="M245" s="119" t="str">
        <f t="shared" si="10"/>
        <v>어려움</v>
      </c>
    </row>
    <row r="246" spans="1:13" ht="15.95" customHeight="1" x14ac:dyDescent="0.3">
      <c r="A246" s="117">
        <v>233</v>
      </c>
      <c r="B246" s="117" t="str">
        <f>Stage!C271</f>
        <v>N 233</v>
      </c>
      <c r="C246" s="117">
        <f>Stage!F271</f>
        <v>180</v>
      </c>
      <c r="D246" s="117">
        <f>IF(Stage!G271="",0,LEN(TRIM(Stage!G271))-LEN(SUBSTITUTE(TRIM(Stage!G271),",",""))+1)</f>
        <v>3</v>
      </c>
      <c r="E246" s="117">
        <f>IF(ISERROR(FIND(",",Stage!H271)),VALUE(Stage!H271),(VALUE(LEFT(Stage!H271,FIND(",",Stage!H271)-1))+VALUE(TRIM(MID(Stage!H271,FIND("|",SUBSTITUTE(Stage!H271,",","|",LEN(Stage!H271)-LEN(SUBSTITUTE(Stage!H271,",",""))))+1,100))))/2)</f>
        <v>3</v>
      </c>
      <c r="F246" s="117">
        <f>IF(ISERROR(FIND(",",Stage!I271)),VALUE(Stage!I271),(VALUE(LEFT(Stage!I271,FIND(",",Stage!I271)-1))+VALUE(TRIM(MID(Stage!I271,FIND("|",SUBSTITUTE(Stage!I271,",","|",LEN(Stage!I271)-LEN(SUBSTITUTE(Stage!I271,",",""))))+1,100))))/2)</f>
        <v>0.3</v>
      </c>
      <c r="G246" s="117">
        <f>IF(ISERROR(FIND(",",Stage!J271)),VALUE(Stage!J271),VALUE(LEFT(Stage!J271,FIND(",",Stage!J271)-1)))</f>
        <v>36</v>
      </c>
      <c r="H246" s="117">
        <f>IF(Stage!K271="",0,LEN(TRIM(Stage!K271))-LEN(SUBSTITUTE(TRIM(Stage!K271),",",""))+1)</f>
        <v>4</v>
      </c>
      <c r="I246" s="117">
        <f>Stage!O271+Stage!P271+Stage!N271+Stage!Q271+Stage!M271</f>
        <v>5</v>
      </c>
      <c r="J246" s="117">
        <f>IF(Stage!F271=0,0,I246/Stage!F271)</f>
        <v>2.7777777777777776E-2</v>
      </c>
      <c r="K246" s="118">
        <f t="shared" si="9"/>
        <v>45.46691230459102</v>
      </c>
      <c r="L246" s="118">
        <f t="shared" si="11"/>
        <v>43.094989544611067</v>
      </c>
      <c r="M246" s="117" t="str">
        <f t="shared" si="10"/>
        <v>어려움</v>
      </c>
    </row>
    <row r="247" spans="1:13" ht="15.95" customHeight="1" x14ac:dyDescent="0.3">
      <c r="A247" s="119">
        <v>234</v>
      </c>
      <c r="B247" s="119" t="str">
        <f>Stage!C272</f>
        <v>N 234</v>
      </c>
      <c r="C247" s="119">
        <f>Stage!F272</f>
        <v>165</v>
      </c>
      <c r="D247" s="119">
        <f>IF(Stage!G272="",0,LEN(TRIM(Stage!G272))-LEN(SUBSTITUTE(TRIM(Stage!G272),",",""))+1)</f>
        <v>3</v>
      </c>
      <c r="E247" s="119">
        <f>IF(ISERROR(FIND(",",Stage!H272)),VALUE(Stage!H272),(VALUE(LEFT(Stage!H272,FIND(",",Stage!H272)-1))+VALUE(TRIM(MID(Stage!H272,FIND("|",SUBSTITUTE(Stage!H272,",","|",LEN(Stage!H272)-LEN(SUBSTITUTE(Stage!H272,",",""))))+1,100))))/2)</f>
        <v>2.5</v>
      </c>
      <c r="F247" s="119">
        <f>IF(ISERROR(FIND(",",Stage!I272)),VALUE(Stage!I272),(VALUE(LEFT(Stage!I272,FIND(",",Stage!I272)-1))+VALUE(TRIM(MID(Stage!I272,FIND("|",SUBSTITUTE(Stage!I272,",","|",LEN(Stage!I272)-LEN(SUBSTITUTE(Stage!I272,",",""))))+1,100))))/2)</f>
        <v>0.3</v>
      </c>
      <c r="G247" s="119">
        <f>IF(ISERROR(FIND(",",Stage!J272)),VALUE(Stage!J272),VALUE(LEFT(Stage!J272,FIND(",",Stage!J272)-1)))</f>
        <v>33</v>
      </c>
      <c r="H247" s="119">
        <f>IF(Stage!K272="",0,LEN(TRIM(Stage!K272))-LEN(SUBSTITUTE(TRIM(Stage!K272),",",""))+1)</f>
        <v>4</v>
      </c>
      <c r="I247" s="119">
        <f>Stage!O272+Stage!P272+Stage!N272+Stage!Q272+Stage!M272</f>
        <v>3</v>
      </c>
      <c r="J247" s="119">
        <f>IF(Stage!F272=0,0,I247/Stage!F272)</f>
        <v>1.8181818181818181E-2</v>
      </c>
      <c r="K247" s="120">
        <f t="shared" si="9"/>
        <v>41.845160726573674</v>
      </c>
      <c r="L247" s="120">
        <f t="shared" si="11"/>
        <v>42.485290972927643</v>
      </c>
      <c r="M247" s="119" t="str">
        <f t="shared" si="10"/>
        <v>보통</v>
      </c>
    </row>
    <row r="248" spans="1:13" ht="15.95" customHeight="1" x14ac:dyDescent="0.3">
      <c r="A248" s="117">
        <v>235</v>
      </c>
      <c r="B248" s="117" t="str">
        <f>Stage!C273</f>
        <v>N 235</v>
      </c>
      <c r="C248" s="117">
        <f>Stage!F273</f>
        <v>150</v>
      </c>
      <c r="D248" s="117">
        <f>IF(Stage!G273="",0,LEN(TRIM(Stage!G273))-LEN(SUBSTITUTE(TRIM(Stage!G273),",",""))+1)</f>
        <v>3</v>
      </c>
      <c r="E248" s="117">
        <f>IF(ISERROR(FIND(",",Stage!H273)),VALUE(Stage!H273),(VALUE(LEFT(Stage!H273,FIND(",",Stage!H273)-1))+VALUE(TRIM(MID(Stage!H273,FIND("|",SUBSTITUTE(Stage!H273,",","|",LEN(Stage!H273)-LEN(SUBSTITUTE(Stage!H273,",",""))))+1,100))))/2)</f>
        <v>2.5</v>
      </c>
      <c r="F248" s="117">
        <f>IF(ISERROR(FIND(",",Stage!I273)),VALUE(Stage!I273),(VALUE(LEFT(Stage!I273,FIND(",",Stage!I273)-1))+VALUE(TRIM(MID(Stage!I273,FIND("|",SUBSTITUTE(Stage!I273,",","|",LEN(Stage!I273)-LEN(SUBSTITUTE(Stage!I273,",",""))))+1,100))))/2)</f>
        <v>0.4</v>
      </c>
      <c r="G248" s="117">
        <f>IF(ISERROR(FIND(",",Stage!J273)),VALUE(Stage!J273),VALUE(LEFT(Stage!J273,FIND(",",Stage!J273)-1)))</f>
        <v>37</v>
      </c>
      <c r="H248" s="117">
        <f>IF(Stage!K273="",0,LEN(TRIM(Stage!K273))-LEN(SUBSTITUTE(TRIM(Stage!K273),",",""))+1)</f>
        <v>3</v>
      </c>
      <c r="I248" s="117">
        <f>Stage!O273+Stage!P273+Stage!N273+Stage!Q273+Stage!M273</f>
        <v>1</v>
      </c>
      <c r="J248" s="117">
        <f>IF(Stage!F273=0,0,I248/Stage!F273)</f>
        <v>6.6666666666666671E-3</v>
      </c>
      <c r="K248" s="118">
        <f t="shared" si="9"/>
        <v>36.845448355961388</v>
      </c>
      <c r="L248" s="118">
        <f t="shared" si="11"/>
        <v>42.115773095083441</v>
      </c>
      <c r="M248" s="117" t="str">
        <f t="shared" si="10"/>
        <v>보통</v>
      </c>
    </row>
    <row r="249" spans="1:13" ht="15.95" customHeight="1" x14ac:dyDescent="0.3">
      <c r="A249" s="119">
        <v>236</v>
      </c>
      <c r="B249" s="119" t="str">
        <f>Stage!C274</f>
        <v>N 236</v>
      </c>
      <c r="C249" s="119">
        <f>Stage!F274</f>
        <v>150</v>
      </c>
      <c r="D249" s="119">
        <f>IF(Stage!G274="",0,LEN(TRIM(Stage!G274))-LEN(SUBSTITUTE(TRIM(Stage!G274),",",""))+1)</f>
        <v>3</v>
      </c>
      <c r="E249" s="119">
        <f>IF(ISERROR(FIND(",",Stage!H274)),VALUE(Stage!H274),(VALUE(LEFT(Stage!H274,FIND(",",Stage!H274)-1))+VALUE(TRIM(MID(Stage!H274,FIND("|",SUBSTITUTE(Stage!H274,",","|",LEN(Stage!H274)-LEN(SUBSTITUTE(Stage!H274,",",""))))+1,100))))/2)</f>
        <v>2.5</v>
      </c>
      <c r="F249" s="119">
        <f>IF(ISERROR(FIND(",",Stage!I274)),VALUE(Stage!I274),(VALUE(LEFT(Stage!I274,FIND(",",Stage!I274)-1))+VALUE(TRIM(MID(Stage!I274,FIND("|",SUBSTITUTE(Stage!I274,",","|",LEN(Stage!I274)-LEN(SUBSTITUTE(Stage!I274,",",""))))+1,100))))/2)</f>
        <v>0.4</v>
      </c>
      <c r="G249" s="119">
        <f>IF(ISERROR(FIND(",",Stage!J274)),VALUE(Stage!J274),VALUE(LEFT(Stage!J274,FIND(",",Stage!J274)-1)))</f>
        <v>30</v>
      </c>
      <c r="H249" s="119">
        <f>IF(Stage!K274="",0,LEN(TRIM(Stage!K274))-LEN(SUBSTITUTE(TRIM(Stage!K274),",",""))+1)</f>
        <v>4</v>
      </c>
      <c r="I249" s="119">
        <f>Stage!O274+Stage!P274+Stage!N274+Stage!Q274+Stage!M274</f>
        <v>1</v>
      </c>
      <c r="J249" s="119">
        <f>IF(Stage!F274=0,0,I249/Stage!F274)</f>
        <v>6.6666666666666671E-3</v>
      </c>
      <c r="K249" s="120">
        <f t="shared" si="9"/>
        <v>38.796667868156511</v>
      </c>
      <c r="L249" s="120">
        <f t="shared" si="11"/>
        <v>40.98977018480803</v>
      </c>
      <c r="M249" s="119" t="str">
        <f t="shared" si="10"/>
        <v>보통</v>
      </c>
    </row>
    <row r="250" spans="1:13" ht="15.95" customHeight="1" x14ac:dyDescent="0.3">
      <c r="A250" s="117">
        <v>237</v>
      </c>
      <c r="B250" s="117" t="str">
        <f>Stage!C275</f>
        <v>N 237</v>
      </c>
      <c r="C250" s="117">
        <f>Stage!F275</f>
        <v>185</v>
      </c>
      <c r="D250" s="117">
        <f>IF(Stage!G275="",0,LEN(TRIM(Stage!G275))-LEN(SUBSTITUTE(TRIM(Stage!G275),",",""))+1)</f>
        <v>3</v>
      </c>
      <c r="E250" s="117">
        <f>IF(ISERROR(FIND(",",Stage!H275)),VALUE(Stage!H275),(VALUE(LEFT(Stage!H275,FIND(",",Stage!H275)-1))+VALUE(TRIM(MID(Stage!H275,FIND("|",SUBSTITUTE(Stage!H275,",","|",LEN(Stage!H275)-LEN(SUBSTITUTE(Stage!H275,",",""))))+1,100))))/2)</f>
        <v>3</v>
      </c>
      <c r="F250" s="117">
        <f>IF(ISERROR(FIND(",",Stage!I275)),VALUE(Stage!I275),(VALUE(LEFT(Stage!I275,FIND(",",Stage!I275)-1))+VALUE(TRIM(MID(Stage!I275,FIND("|",SUBSTITUTE(Stage!I275,",","|",LEN(Stage!I275)-LEN(SUBSTITUTE(Stage!I275,",",""))))+1,100))))/2)</f>
        <v>0.2</v>
      </c>
      <c r="G250" s="117">
        <f>IF(ISERROR(FIND(",",Stage!J275)),VALUE(Stage!J275),VALUE(LEFT(Stage!J275,FIND(",",Stage!J275)-1)))</f>
        <v>37</v>
      </c>
      <c r="H250" s="117">
        <f>IF(Stage!K275="",0,LEN(TRIM(Stage!K275))-LEN(SUBSTITUTE(TRIM(Stage!K275),",",""))+1)</f>
        <v>4</v>
      </c>
      <c r="I250" s="117">
        <f>Stage!O275+Stage!P275+Stage!N275+Stage!Q275+Stage!M275</f>
        <v>7</v>
      </c>
      <c r="J250" s="117">
        <f>IF(Stage!F275=0,0,I250/Stage!F275)</f>
        <v>3.783783783783784E-2</v>
      </c>
      <c r="K250" s="118">
        <f t="shared" si="9"/>
        <v>47.624676220134596</v>
      </c>
      <c r="L250" s="118">
        <f t="shared" si="11"/>
        <v>40.98977018480803</v>
      </c>
      <c r="M250" s="117" t="str">
        <f t="shared" si="10"/>
        <v>어려움</v>
      </c>
    </row>
    <row r="251" spans="1:13" ht="15.95" customHeight="1" x14ac:dyDescent="0.3">
      <c r="A251" s="119">
        <v>238</v>
      </c>
      <c r="B251" s="119" t="str">
        <f>Stage!C276</f>
        <v>N 238</v>
      </c>
      <c r="C251" s="119">
        <f>Stage!F276</f>
        <v>160</v>
      </c>
      <c r="D251" s="119">
        <f>IF(Stage!G276="",0,LEN(TRIM(Stage!G276))-LEN(SUBSTITUTE(TRIM(Stage!G276),",",""))+1)</f>
        <v>3</v>
      </c>
      <c r="E251" s="119">
        <f>IF(ISERROR(FIND(",",Stage!H276)),VALUE(Stage!H276),(VALUE(LEFT(Stage!H276,FIND(",",Stage!H276)-1))+VALUE(TRIM(MID(Stage!H276,FIND("|",SUBSTITUTE(Stage!H276,",","|",LEN(Stage!H276)-LEN(SUBSTITUTE(Stage!H276,",",""))))+1,100))))/2)</f>
        <v>2.5</v>
      </c>
      <c r="F251" s="119">
        <f>IF(ISERROR(FIND(",",Stage!I276)),VALUE(Stage!I276),(VALUE(LEFT(Stage!I276,FIND(",",Stage!I276)-1))+VALUE(TRIM(MID(Stage!I276,FIND("|",SUBSTITUTE(Stage!I276,",","|",LEN(Stage!I276)-LEN(SUBSTITUTE(Stage!I276,",",""))))+1,100))))/2)</f>
        <v>0.4</v>
      </c>
      <c r="G251" s="119">
        <f>IF(ISERROR(FIND(",",Stage!J276)),VALUE(Stage!J276),VALUE(LEFT(Stage!J276,FIND(",",Stage!J276)-1)))</f>
        <v>32</v>
      </c>
      <c r="H251" s="119">
        <f>IF(Stage!K276="",0,LEN(TRIM(Stage!K276))-LEN(SUBSTITUTE(TRIM(Stage!K276),",",""))+1)</f>
        <v>4</v>
      </c>
      <c r="I251" s="119">
        <f>Stage!O276+Stage!P276+Stage!N276+Stage!Q276+Stage!M276</f>
        <v>2</v>
      </c>
      <c r="J251" s="119">
        <f>IF(Stage!F276=0,0,I251/Stage!F276)</f>
        <v>1.2500000000000001E-2</v>
      </c>
      <c r="K251" s="120">
        <f t="shared" si="9"/>
        <v>39.836897753213982</v>
      </c>
      <c r="L251" s="120">
        <f t="shared" si="11"/>
        <v>42.396216723971136</v>
      </c>
      <c r="M251" s="119" t="str">
        <f t="shared" si="10"/>
        <v>보통</v>
      </c>
    </row>
    <row r="252" spans="1:13" ht="15.95" customHeight="1" x14ac:dyDescent="0.3">
      <c r="A252" s="117">
        <v>239</v>
      </c>
      <c r="B252" s="117" t="str">
        <f>Stage!C277</f>
        <v>N 239</v>
      </c>
      <c r="C252" s="117">
        <f>Stage!F277</f>
        <v>165</v>
      </c>
      <c r="D252" s="117">
        <f>IF(Stage!G277="",0,LEN(TRIM(Stage!G277))-LEN(SUBSTITUTE(TRIM(Stage!G277),",",""))+1)</f>
        <v>3</v>
      </c>
      <c r="E252" s="117">
        <f>IF(ISERROR(FIND(",",Stage!H277)),VALUE(Stage!H277),(VALUE(LEFT(Stage!H277,FIND(",",Stage!H277)-1))+VALUE(TRIM(MID(Stage!H277,FIND("|",SUBSTITUTE(Stage!H277,",","|",LEN(Stage!H277)-LEN(SUBSTITUTE(Stage!H277,",",""))))+1,100))))/2)</f>
        <v>2.5</v>
      </c>
      <c r="F252" s="117">
        <f>IF(ISERROR(FIND(",",Stage!I277)),VALUE(Stage!I277),(VALUE(LEFT(Stage!I277,FIND(",",Stage!I277)-1))+VALUE(TRIM(MID(Stage!I277,FIND("|",SUBSTITUTE(Stage!I277,",","|",LEN(Stage!I277)-LEN(SUBSTITUTE(Stage!I277,",",""))))+1,100))))/2)</f>
        <v>0.3</v>
      </c>
      <c r="G252" s="117">
        <f>IF(ISERROR(FIND(",",Stage!J277)),VALUE(Stage!J277),VALUE(LEFT(Stage!J277,FIND(",",Stage!J277)-1)))</f>
        <v>33</v>
      </c>
      <c r="H252" s="117">
        <f>IF(Stage!K277="",0,LEN(TRIM(Stage!K277))-LEN(SUBSTITUTE(TRIM(Stage!K277),",",""))+1)</f>
        <v>4</v>
      </c>
      <c r="I252" s="117">
        <f>Stage!O277+Stage!P277+Stage!N277+Stage!Q277+Stage!M277</f>
        <v>3</v>
      </c>
      <c r="J252" s="117">
        <f>IF(Stage!F277=0,0,I252/Stage!F277)</f>
        <v>1.8181818181818181E-2</v>
      </c>
      <c r="K252" s="118">
        <f t="shared" si="9"/>
        <v>41.845160726573674</v>
      </c>
      <c r="L252" s="118">
        <f t="shared" si="11"/>
        <v>40.68802656817796</v>
      </c>
      <c r="M252" s="117" t="str">
        <f t="shared" si="10"/>
        <v>보통</v>
      </c>
    </row>
    <row r="253" spans="1:13" ht="15.95" customHeight="1" x14ac:dyDescent="0.3">
      <c r="A253" s="119">
        <v>240</v>
      </c>
      <c r="B253" s="119" t="str">
        <f>Stage!C278</f>
        <v>N 240</v>
      </c>
      <c r="C253" s="119">
        <f>Stage!F278</f>
        <v>165</v>
      </c>
      <c r="D253" s="119">
        <f>IF(Stage!G278="",0,LEN(TRIM(Stage!G278))-LEN(SUBSTITUTE(TRIM(Stage!G278),",",""))+1)</f>
        <v>3</v>
      </c>
      <c r="E253" s="119">
        <f>IF(ISERROR(FIND(",",Stage!H278)),VALUE(Stage!H278),(VALUE(LEFT(Stage!H278,FIND(",",Stage!H278)-1))+VALUE(TRIM(MID(Stage!H278,FIND("|",SUBSTITUTE(Stage!H278,",","|",LEN(Stage!H278)-LEN(SUBSTITUTE(Stage!H278,",",""))))+1,100))))/2)</f>
        <v>3</v>
      </c>
      <c r="F253" s="119">
        <f>IF(ISERROR(FIND(",",Stage!I278)),VALUE(Stage!I278),(VALUE(LEFT(Stage!I278,FIND(",",Stage!I278)-1))+VALUE(TRIM(MID(Stage!I278,FIND("|",SUBSTITUTE(Stage!I278,",","|",LEN(Stage!I278)-LEN(SUBSTITUTE(Stage!I278,",",""))))+1,100))))/2)</f>
        <v>0.3</v>
      </c>
      <c r="G253" s="119">
        <f>IF(ISERROR(FIND(",",Stage!J278)),VALUE(Stage!J278),VALUE(LEFT(Stage!J278,FIND(",",Stage!J278)-1)))</f>
        <v>33</v>
      </c>
      <c r="H253" s="119">
        <f>IF(Stage!K278="",0,LEN(TRIM(Stage!K278))-LEN(SUBSTITUTE(TRIM(Stage!K278),",",""))+1)</f>
        <v>4</v>
      </c>
      <c r="I253" s="119">
        <f>Stage!O278+Stage!P278+Stage!N278+Stage!Q278+Stage!M278</f>
        <v>3</v>
      </c>
      <c r="J253" s="119">
        <f>IF(Stage!F278=0,0,I253/Stage!F278)</f>
        <v>1.8181818181818181E-2</v>
      </c>
      <c r="K253" s="120">
        <f t="shared" si="9"/>
        <v>43.877681051776932</v>
      </c>
      <c r="L253" s="120">
        <f t="shared" si="11"/>
        <v>38.402548250740004</v>
      </c>
      <c r="M253" s="119" t="str">
        <f t="shared" si="10"/>
        <v>보통</v>
      </c>
    </row>
    <row r="254" spans="1:13" ht="15.95" customHeight="1" x14ac:dyDescent="0.3">
      <c r="A254" s="117">
        <v>241</v>
      </c>
      <c r="B254" s="117" t="str">
        <f>Stage!C279</f>
        <v>N 241</v>
      </c>
      <c r="C254" s="117">
        <f>Stage!F279</f>
        <v>95</v>
      </c>
      <c r="D254" s="117">
        <f>IF(Stage!G279="",0,LEN(TRIM(Stage!G279))-LEN(SUBSTITUTE(TRIM(Stage!G279),",",""))+1)</f>
        <v>2</v>
      </c>
      <c r="E254" s="117">
        <f>IF(ISERROR(FIND(",",Stage!H279)),VALUE(Stage!H279),(VALUE(LEFT(Stage!H279,FIND(",",Stage!H279)-1))+VALUE(TRIM(MID(Stage!H279,FIND("|",SUBSTITUTE(Stage!H279,",","|",LEN(Stage!H279)-LEN(SUBSTITUTE(Stage!H279,",",""))))+1,100))))/2)</f>
        <v>2</v>
      </c>
      <c r="F254" s="117">
        <f>IF(ISERROR(FIND(",",Stage!I279)),VALUE(Stage!I279),(VALUE(LEFT(Stage!I279,FIND(",",Stage!I279)-1))+VALUE(TRIM(MID(Stage!I279,FIND("|",SUBSTITUTE(Stage!I279,",","|",LEN(Stage!I279)-LEN(SUBSTITUTE(Stage!I279,",",""))))+1,100))))/2)</f>
        <v>0.6</v>
      </c>
      <c r="G254" s="117">
        <f>IF(ISERROR(FIND(",",Stage!J279)),VALUE(Stage!J279),VALUE(LEFT(Stage!J279,FIND(",",Stage!J279)-1)))</f>
        <v>19</v>
      </c>
      <c r="H254" s="117">
        <f>IF(Stage!K279="",0,LEN(TRIM(Stage!K279))-LEN(SUBSTITUTE(TRIM(Stage!K279),",",""))+1)</f>
        <v>4</v>
      </c>
      <c r="I254" s="117">
        <f>Stage!O279+Stage!P279+Stage!N279+Stage!Q279+Stage!M279</f>
        <v>0</v>
      </c>
      <c r="J254" s="117">
        <f>IF(Stage!F279=0,0,I254/Stage!F279)</f>
        <v>0</v>
      </c>
      <c r="K254" s="118">
        <f t="shared" si="9"/>
        <v>30.255717089190593</v>
      </c>
      <c r="L254" s="118">
        <f t="shared" si="11"/>
        <v>38.277137903199375</v>
      </c>
      <c r="M254" s="117" t="str">
        <f t="shared" si="10"/>
        <v>보통</v>
      </c>
    </row>
    <row r="255" spans="1:13" ht="15.95" customHeight="1" x14ac:dyDescent="0.3">
      <c r="A255" s="119">
        <v>242</v>
      </c>
      <c r="B255" s="119" t="str">
        <f>Stage!C280</f>
        <v>N 242</v>
      </c>
      <c r="C255" s="119">
        <f>Stage!F280</f>
        <v>145</v>
      </c>
      <c r="D255" s="119">
        <f>IF(Stage!G280="",0,LEN(TRIM(Stage!G280))-LEN(SUBSTITUTE(TRIM(Stage!G280),",",""))+1)</f>
        <v>3</v>
      </c>
      <c r="E255" s="119">
        <f>IF(ISERROR(FIND(",",Stage!H280)),VALUE(Stage!H280),(VALUE(LEFT(Stage!H280,FIND(",",Stage!H280)-1))+VALUE(TRIM(MID(Stage!H280,FIND("|",SUBSTITUTE(Stage!H280,",","|",LEN(Stage!H280)-LEN(SUBSTITUTE(Stage!H280,",",""))))+1,100))))/2)</f>
        <v>2.5</v>
      </c>
      <c r="F255" s="119">
        <f>IF(ISERROR(FIND(",",Stage!I280)),VALUE(Stage!I280),(VALUE(LEFT(Stage!I280,FIND(",",Stage!I280)-1))+VALUE(TRIM(MID(Stage!I280,FIND("|",SUBSTITUTE(Stage!I280,",","|",LEN(Stage!I280)-LEN(SUBSTITUTE(Stage!I280,",",""))))+1,100))))/2)</f>
        <v>0.4</v>
      </c>
      <c r="G255" s="119">
        <f>IF(ISERROR(FIND(",",Stage!J280)),VALUE(Stage!J280),VALUE(LEFT(Stage!J280,FIND(",",Stage!J280)-1)))</f>
        <v>36</v>
      </c>
      <c r="H255" s="119">
        <f>IF(Stage!K280="",0,LEN(TRIM(Stage!K280))-LEN(SUBSTITUTE(TRIM(Stage!K280),",",""))+1)</f>
        <v>3</v>
      </c>
      <c r="I255" s="119">
        <f>Stage!O280+Stage!P280+Stage!N280+Stage!Q280+Stage!M280</f>
        <v>0</v>
      </c>
      <c r="J255" s="119">
        <f>IF(Stage!F280=0,0,I255/Stage!F280)</f>
        <v>0</v>
      </c>
      <c r="K255" s="120">
        <f t="shared" si="9"/>
        <v>36.19728463294485</v>
      </c>
      <c r="L255" s="120">
        <f t="shared" si="11"/>
        <v>39.001488218802841</v>
      </c>
      <c r="M255" s="119" t="str">
        <f t="shared" si="10"/>
        <v>보통</v>
      </c>
    </row>
    <row r="256" spans="1:13" ht="15.95" customHeight="1" x14ac:dyDescent="0.3">
      <c r="A256" s="117">
        <v>243</v>
      </c>
      <c r="B256" s="117" t="str">
        <f>Stage!C281</f>
        <v>N 243</v>
      </c>
      <c r="C256" s="117">
        <f>Stage!F281</f>
        <v>155</v>
      </c>
      <c r="D256" s="117">
        <f>IF(Stage!G281="",0,LEN(TRIM(Stage!G281))-LEN(SUBSTITUTE(TRIM(Stage!G281),",",""))+1)</f>
        <v>3</v>
      </c>
      <c r="E256" s="117">
        <f>IF(ISERROR(FIND(",",Stage!H281)),VALUE(Stage!H281),(VALUE(LEFT(Stage!H281,FIND(",",Stage!H281)-1))+VALUE(TRIM(MID(Stage!H281,FIND("|",SUBSTITUTE(Stage!H281,",","|",LEN(Stage!H281)-LEN(SUBSTITUTE(Stage!H281,",",""))))+1,100))))/2)</f>
        <v>2.5</v>
      </c>
      <c r="F256" s="117">
        <f>IF(ISERROR(FIND(",",Stage!I281)),VALUE(Stage!I281),(VALUE(LEFT(Stage!I281,FIND(",",Stage!I281)-1))+VALUE(TRIM(MID(Stage!I281,FIND("|",SUBSTITUTE(Stage!I281,",","|",LEN(Stage!I281)-LEN(SUBSTITUTE(Stage!I281,",",""))))+1,100))))/2)</f>
        <v>0.4</v>
      </c>
      <c r="G256" s="117">
        <f>IF(ISERROR(FIND(",",Stage!J281)),VALUE(Stage!J281),VALUE(LEFT(Stage!J281,FIND(",",Stage!J281)-1)))</f>
        <v>31</v>
      </c>
      <c r="H256" s="117">
        <f>IF(Stage!K281="",0,LEN(TRIM(Stage!K281))-LEN(SUBSTITUTE(TRIM(Stage!K281),",",""))+1)</f>
        <v>4</v>
      </c>
      <c r="I256" s="117">
        <f>Stage!O281+Stage!P281+Stage!N281+Stage!Q281+Stage!M281</f>
        <v>1</v>
      </c>
      <c r="J256" s="117">
        <f>IF(Stage!F281=0,0,I256/Stage!F281)</f>
        <v>6.4516129032258064E-3</v>
      </c>
      <c r="K256" s="118">
        <f t="shared" si="9"/>
        <v>39.209846015510841</v>
      </c>
      <c r="L256" s="118">
        <f t="shared" si="11"/>
        <v>39.975888083026092</v>
      </c>
      <c r="M256" s="117" t="str">
        <f t="shared" si="10"/>
        <v>보통</v>
      </c>
    </row>
    <row r="257" spans="1:13" ht="15.95" customHeight="1" x14ac:dyDescent="0.3">
      <c r="A257" s="119">
        <v>244</v>
      </c>
      <c r="B257" s="119" t="str">
        <f>Stage!C282</f>
        <v>N 244</v>
      </c>
      <c r="C257" s="119">
        <f>Stage!F282</f>
        <v>180</v>
      </c>
      <c r="D257" s="119">
        <f>IF(Stage!G282="",0,LEN(TRIM(Stage!G282))-LEN(SUBSTITUTE(TRIM(Stage!G282),",",""))+1)</f>
        <v>3</v>
      </c>
      <c r="E257" s="119">
        <f>IF(ISERROR(FIND(",",Stage!H282)),VALUE(Stage!H282),(VALUE(LEFT(Stage!H282,FIND(",",Stage!H282)-1))+VALUE(TRIM(MID(Stage!H282,FIND("|",SUBSTITUTE(Stage!H282,",","|",LEN(Stage!H282)-LEN(SUBSTITUTE(Stage!H282,",",""))))+1,100))))/2)</f>
        <v>3</v>
      </c>
      <c r="F257" s="119">
        <f>IF(ISERROR(FIND(",",Stage!I282)),VALUE(Stage!I282),(VALUE(LEFT(Stage!I282,FIND(",",Stage!I282)-1))+VALUE(TRIM(MID(Stage!I282,FIND("|",SUBSTITUTE(Stage!I282,",","|",LEN(Stage!I282)-LEN(SUBSTITUTE(Stage!I282,",",""))))+1,100))))/2)</f>
        <v>0.3</v>
      </c>
      <c r="G257" s="119">
        <f>IF(ISERROR(FIND(",",Stage!J282)),VALUE(Stage!J282),VALUE(LEFT(Stage!J282,FIND(",",Stage!J282)-1)))</f>
        <v>36</v>
      </c>
      <c r="H257" s="119">
        <f>IF(Stage!K282="",0,LEN(TRIM(Stage!K282))-LEN(SUBSTITUTE(TRIM(Stage!K282),",",""))+1)</f>
        <v>4</v>
      </c>
      <c r="I257" s="119">
        <f>Stage!O282+Stage!P282+Stage!N282+Stage!Q282+Stage!M282</f>
        <v>5</v>
      </c>
      <c r="J257" s="119">
        <f>IF(Stage!F282=0,0,I257/Stage!F282)</f>
        <v>2.7777777777777776E-2</v>
      </c>
      <c r="K257" s="120">
        <f t="shared" si="9"/>
        <v>45.46691230459102</v>
      </c>
      <c r="L257" s="120">
        <f t="shared" si="11"/>
        <v>41.29383433638025</v>
      </c>
      <c r="M257" s="119" t="str">
        <f t="shared" si="10"/>
        <v>어려움</v>
      </c>
    </row>
    <row r="258" spans="1:13" ht="15.95" customHeight="1" x14ac:dyDescent="0.3">
      <c r="A258" s="117">
        <v>245</v>
      </c>
      <c r="B258" s="117" t="str">
        <f>Stage!C283</f>
        <v>N 245</v>
      </c>
      <c r="C258" s="117">
        <f>Stage!F283</f>
        <v>195</v>
      </c>
      <c r="D258" s="117">
        <f>IF(Stage!G283="",0,LEN(TRIM(Stage!G283))-LEN(SUBSTITUTE(TRIM(Stage!G283),",",""))+1)</f>
        <v>3</v>
      </c>
      <c r="E258" s="117">
        <f>IF(ISERROR(FIND(",",Stage!H283)),VALUE(Stage!H283),(VALUE(LEFT(Stage!H283,FIND(",",Stage!H283)-1))+VALUE(TRIM(MID(Stage!H283,FIND("|",SUBSTITUTE(Stage!H283,",","|",LEN(Stage!H283)-LEN(SUBSTITUTE(Stage!H283,",",""))))+1,100))))/2)</f>
        <v>3</v>
      </c>
      <c r="F258" s="117">
        <f>IF(ISERROR(FIND(",",Stage!I283)),VALUE(Stage!I283),(VALUE(LEFT(Stage!I283,FIND(",",Stage!I283)-1))+VALUE(TRIM(MID(Stage!I283,FIND("|",SUBSTITUTE(Stage!I283,",","|",LEN(Stage!I283)-LEN(SUBSTITUTE(Stage!I283,",",""))))+1,100))))/2)</f>
        <v>0.2</v>
      </c>
      <c r="G258" s="117">
        <f>IF(ISERROR(FIND(",",Stage!J283)),VALUE(Stage!J283),VALUE(LEFT(Stage!J283,FIND(",",Stage!J283)-1)))</f>
        <v>39</v>
      </c>
      <c r="H258" s="117">
        <f>IF(Stage!K283="",0,LEN(TRIM(Stage!K283))-LEN(SUBSTITUTE(TRIM(Stage!K283),",",""))+1)</f>
        <v>4</v>
      </c>
      <c r="I258" s="117">
        <f>Stage!O283+Stage!P283+Stage!N283+Stage!Q283+Stage!M283</f>
        <v>9</v>
      </c>
      <c r="J258" s="117">
        <f>IF(Stage!F283=0,0,I258/Stage!F283)</f>
        <v>4.6153846153846156E-2</v>
      </c>
      <c r="K258" s="118">
        <f t="shared" si="9"/>
        <v>48.749680372893152</v>
      </c>
      <c r="L258" s="118">
        <f t="shared" si="11"/>
        <v>42.990710227190739</v>
      </c>
      <c r="M258" s="117" t="str">
        <f t="shared" si="10"/>
        <v>어려움</v>
      </c>
    </row>
    <row r="259" spans="1:13" ht="15.95" customHeight="1" x14ac:dyDescent="0.3">
      <c r="A259" s="119">
        <v>246</v>
      </c>
      <c r="B259" s="119" t="str">
        <f>Stage!C284</f>
        <v>N 246</v>
      </c>
      <c r="C259" s="119">
        <f>Stage!F284</f>
        <v>150</v>
      </c>
      <c r="D259" s="119">
        <f>IF(Stage!G284="",0,LEN(TRIM(Stage!G284))-LEN(SUBSTITUTE(TRIM(Stage!G284),",",""))+1)</f>
        <v>3</v>
      </c>
      <c r="E259" s="119">
        <f>IF(ISERROR(FIND(",",Stage!H284)),VALUE(Stage!H284),(VALUE(LEFT(Stage!H284,FIND(",",Stage!H284)-1))+VALUE(TRIM(MID(Stage!H284,FIND("|",SUBSTITUTE(Stage!H284,",","|",LEN(Stage!H284)-LEN(SUBSTITUTE(Stage!H284,",",""))))+1,100))))/2)</f>
        <v>2.5</v>
      </c>
      <c r="F259" s="119">
        <f>IF(ISERROR(FIND(",",Stage!I284)),VALUE(Stage!I284),(VALUE(LEFT(Stage!I284,FIND(",",Stage!I284)-1))+VALUE(TRIM(MID(Stage!I284,FIND("|",SUBSTITUTE(Stage!I284,",","|",LEN(Stage!I284)-LEN(SUBSTITUTE(Stage!I284,",",""))))+1,100))))/2)</f>
        <v>0.4</v>
      </c>
      <c r="G259" s="119">
        <f>IF(ISERROR(FIND(",",Stage!J284)),VALUE(Stage!J284),VALUE(LEFT(Stage!J284,FIND(",",Stage!J284)-1)))</f>
        <v>37</v>
      </c>
      <c r="H259" s="119">
        <f>IF(Stage!K284="",0,LEN(TRIM(Stage!K284))-LEN(SUBSTITUTE(TRIM(Stage!K284),",",""))+1)</f>
        <v>3</v>
      </c>
      <c r="I259" s="119">
        <f>Stage!O284+Stage!P284+Stage!N284+Stage!Q284+Stage!M284</f>
        <v>1</v>
      </c>
      <c r="J259" s="119">
        <f>IF(Stage!F284=0,0,I259/Stage!F284)</f>
        <v>6.6666666666666671E-3</v>
      </c>
      <c r="K259" s="120">
        <f t="shared" si="9"/>
        <v>36.845448355961388</v>
      </c>
      <c r="L259" s="120">
        <f t="shared" si="11"/>
        <v>42.388197950677537</v>
      </c>
      <c r="M259" s="119" t="str">
        <f t="shared" si="10"/>
        <v>보통</v>
      </c>
    </row>
    <row r="260" spans="1:13" ht="15.95" customHeight="1" x14ac:dyDescent="0.3">
      <c r="A260" s="117">
        <v>247</v>
      </c>
      <c r="B260" s="117" t="str">
        <f>Stage!C285</f>
        <v>N 247</v>
      </c>
      <c r="C260" s="117">
        <f>Stage!F285</f>
        <v>170</v>
      </c>
      <c r="D260" s="117">
        <f>IF(Stage!G285="",0,LEN(TRIM(Stage!G285))-LEN(SUBSTITUTE(TRIM(Stage!G285),",",""))+1)</f>
        <v>3</v>
      </c>
      <c r="E260" s="117">
        <f>IF(ISERROR(FIND(",",Stage!H285)),VALUE(Stage!H285),(VALUE(LEFT(Stage!H285,FIND(",",Stage!H285)-1))+VALUE(TRIM(MID(Stage!H285,FIND("|",SUBSTITUTE(Stage!H285,",","|",LEN(Stage!H285)-LEN(SUBSTITUTE(Stage!H285,",",""))))+1,100))))/2)</f>
        <v>3</v>
      </c>
      <c r="F260" s="117">
        <f>IF(ISERROR(FIND(",",Stage!I285)),VALUE(Stage!I285),(VALUE(LEFT(Stage!I285,FIND(",",Stage!I285)-1))+VALUE(TRIM(MID(Stage!I285,FIND("|",SUBSTITUTE(Stage!I285,",","|",LEN(Stage!I285)-LEN(SUBSTITUTE(Stage!I285,",",""))))+1,100))))/2)</f>
        <v>0.3</v>
      </c>
      <c r="G260" s="117">
        <f>IF(ISERROR(FIND(",",Stage!J285)),VALUE(Stage!J285),VALUE(LEFT(Stage!J285,FIND(",",Stage!J285)-1)))</f>
        <v>34</v>
      </c>
      <c r="H260" s="117">
        <f>IF(Stage!K285="",0,LEN(TRIM(Stage!K285))-LEN(SUBSTITUTE(TRIM(Stage!K285),",",""))+1)</f>
        <v>4</v>
      </c>
      <c r="I260" s="117">
        <f>Stage!O285+Stage!P285+Stage!N285+Stage!Q285+Stage!M285</f>
        <v>5</v>
      </c>
      <c r="J260" s="117">
        <f>IF(Stage!F285=0,0,I260/Stage!F285)</f>
        <v>2.9411764705882353E-2</v>
      </c>
      <c r="K260" s="118">
        <f t="shared" si="9"/>
        <v>44.68166408699728</v>
      </c>
      <c r="L260" s="118">
        <f t="shared" si="11"/>
        <v>42.426138330081329</v>
      </c>
      <c r="M260" s="117" t="str">
        <f t="shared" si="10"/>
        <v>보통</v>
      </c>
    </row>
    <row r="261" spans="1:13" ht="15.95" customHeight="1" x14ac:dyDescent="0.3">
      <c r="A261" s="119">
        <v>248</v>
      </c>
      <c r="B261" s="119" t="str">
        <f>Stage!C286</f>
        <v>N 248</v>
      </c>
      <c r="C261" s="119">
        <f>Stage!F286</f>
        <v>145</v>
      </c>
      <c r="D261" s="119">
        <f>IF(Stage!G286="",0,LEN(TRIM(Stage!G286))-LEN(SUBSTITUTE(TRIM(Stage!G286),",",""))+1)</f>
        <v>3</v>
      </c>
      <c r="E261" s="119">
        <f>IF(ISERROR(FIND(",",Stage!H286)),VALUE(Stage!H286),(VALUE(LEFT(Stage!H286,FIND(",",Stage!H286)-1))+VALUE(TRIM(MID(Stage!H286,FIND("|",SUBSTITUTE(Stage!H286,",","|",LEN(Stage!H286)-LEN(SUBSTITUTE(Stage!H286,",",""))))+1,100))))/2)</f>
        <v>2.5</v>
      </c>
      <c r="F261" s="119">
        <f>IF(ISERROR(FIND(",",Stage!I286)),VALUE(Stage!I286),(VALUE(LEFT(Stage!I286,FIND(",",Stage!I286)-1))+VALUE(TRIM(MID(Stage!I286,FIND("|",SUBSTITUTE(Stage!I286,",","|",LEN(Stage!I286)-LEN(SUBSTITUTE(Stage!I286,",",""))))+1,100))))/2)</f>
        <v>0.4</v>
      </c>
      <c r="G261" s="119">
        <f>IF(ISERROR(FIND(",",Stage!J286)),VALUE(Stage!J286),VALUE(LEFT(Stage!J286,FIND(",",Stage!J286)-1)))</f>
        <v>36</v>
      </c>
      <c r="H261" s="119">
        <f>IF(Stage!K286="",0,LEN(TRIM(Stage!K286))-LEN(SUBSTITUTE(TRIM(Stage!K286),",",""))+1)</f>
        <v>3</v>
      </c>
      <c r="I261" s="119">
        <f>Stage!O286+Stage!P286+Stage!N286+Stage!Q286+Stage!M286</f>
        <v>0</v>
      </c>
      <c r="J261" s="119">
        <f>IF(Stage!F286=0,0,I261/Stage!F286)</f>
        <v>0</v>
      </c>
      <c r="K261" s="120">
        <f t="shared" si="9"/>
        <v>36.19728463294485</v>
      </c>
      <c r="L261" s="120">
        <f t="shared" si="11"/>
        <v>42.201137499529622</v>
      </c>
      <c r="M261" s="119" t="str">
        <f t="shared" si="10"/>
        <v>보통</v>
      </c>
    </row>
    <row r="262" spans="1:13" ht="15.95" customHeight="1" x14ac:dyDescent="0.3">
      <c r="A262" s="117">
        <v>249</v>
      </c>
      <c r="B262" s="117" t="str">
        <f>Stage!C287</f>
        <v>N 249</v>
      </c>
      <c r="C262" s="117">
        <f>Stage!F287</f>
        <v>180</v>
      </c>
      <c r="D262" s="117">
        <f>IF(Stage!G287="",0,LEN(TRIM(Stage!G287))-LEN(SUBSTITUTE(TRIM(Stage!G287),",",""))+1)</f>
        <v>3</v>
      </c>
      <c r="E262" s="117">
        <f>IF(ISERROR(FIND(",",Stage!H287)),VALUE(Stage!H287),(VALUE(LEFT(Stage!H287,FIND(",",Stage!H287)-1))+VALUE(TRIM(MID(Stage!H287,FIND("|",SUBSTITUTE(Stage!H287,",","|",LEN(Stage!H287)-LEN(SUBSTITUTE(Stage!H287,",",""))))+1,100))))/2)</f>
        <v>3</v>
      </c>
      <c r="F262" s="117">
        <f>IF(ISERROR(FIND(",",Stage!I287)),VALUE(Stage!I287),(VALUE(LEFT(Stage!I287,FIND(",",Stage!I287)-1))+VALUE(TRIM(MID(Stage!I287,FIND("|",SUBSTITUTE(Stage!I287,",","|",LEN(Stage!I287)-LEN(SUBSTITUTE(Stage!I287,",",""))))+1,100))))/2)</f>
        <v>0.3</v>
      </c>
      <c r="G262" s="117">
        <f>IF(ISERROR(FIND(",",Stage!J287)),VALUE(Stage!J287),VALUE(LEFT(Stage!J287,FIND(",",Stage!J287)-1)))</f>
        <v>36</v>
      </c>
      <c r="H262" s="117">
        <f>IF(Stage!K287="",0,LEN(TRIM(Stage!K287))-LEN(SUBSTITUTE(TRIM(Stage!K287),",",""))+1)</f>
        <v>4</v>
      </c>
      <c r="I262" s="117">
        <f>Stage!O287+Stage!P287+Stage!N287+Stage!Q287+Stage!M287</f>
        <v>6</v>
      </c>
      <c r="J262" s="117">
        <f>IF(Stage!F287=0,0,I262/Stage!F287)</f>
        <v>3.3333333333333333E-2</v>
      </c>
      <c r="K262" s="118">
        <f t="shared" si="9"/>
        <v>45.65661420160999</v>
      </c>
      <c r="L262" s="118">
        <f t="shared" si="11"/>
        <v>41.903296176288805</v>
      </c>
      <c r="M262" s="117" t="str">
        <f t="shared" si="10"/>
        <v>어려움</v>
      </c>
    </row>
    <row r="263" spans="1:13" ht="15.95" customHeight="1" x14ac:dyDescent="0.3">
      <c r="A263" s="119">
        <v>250</v>
      </c>
      <c r="B263" s="119" t="str">
        <f>Stage!C288</f>
        <v>N 250</v>
      </c>
      <c r="C263" s="119">
        <f>Stage!F288</f>
        <v>185</v>
      </c>
      <c r="D263" s="119">
        <f>IF(Stage!G288="",0,LEN(TRIM(Stage!G288))-LEN(SUBSTITUTE(TRIM(Stage!G288),",",""))+1)</f>
        <v>3</v>
      </c>
      <c r="E263" s="119">
        <f>IF(ISERROR(FIND(",",Stage!H288)),VALUE(Stage!H288),(VALUE(LEFT(Stage!H288,FIND(",",Stage!H288)-1))+VALUE(TRIM(MID(Stage!H288,FIND("|",SUBSTITUTE(Stage!H288,",","|",LEN(Stage!H288)-LEN(SUBSTITUTE(Stage!H288,",",""))))+1,100))))/2)</f>
        <v>3</v>
      </c>
      <c r="F263" s="119">
        <f>IF(ISERROR(FIND(",",Stage!I288)),VALUE(Stage!I288),(VALUE(LEFT(Stage!I288,FIND(",",Stage!I288)-1))+VALUE(TRIM(MID(Stage!I288,FIND("|",SUBSTITUTE(Stage!I288,",","|",LEN(Stage!I288)-LEN(SUBSTITUTE(Stage!I288,",",""))))+1,100))))/2)</f>
        <v>0.2</v>
      </c>
      <c r="G263" s="119">
        <f>IF(ISERROR(FIND(",",Stage!J288)),VALUE(Stage!J288),VALUE(LEFT(Stage!J288,FIND(",",Stage!J288)-1)))</f>
        <v>37</v>
      </c>
      <c r="H263" s="119">
        <f>IF(Stage!K288="",0,LEN(TRIM(Stage!K288))-LEN(SUBSTITUTE(TRIM(Stage!K288),",",""))+1)</f>
        <v>4</v>
      </c>
      <c r="I263" s="119">
        <f>Stage!O288+Stage!P288+Stage!N288+Stage!Q288+Stage!M288</f>
        <v>7</v>
      </c>
      <c r="J263" s="119">
        <f>IF(Stage!F288=0,0,I263/Stage!F288)</f>
        <v>3.783783783783784E-2</v>
      </c>
      <c r="K263" s="120">
        <f t="shared" si="9"/>
        <v>47.624676220134596</v>
      </c>
      <c r="L263" s="120">
        <f t="shared" si="11"/>
        <v>40.726296932520647</v>
      </c>
      <c r="M263" s="119" t="str">
        <f t="shared" si="10"/>
        <v>어려움</v>
      </c>
    </row>
    <row r="264" spans="1:13" ht="15.95" customHeight="1" x14ac:dyDescent="0.3">
      <c r="A264" s="117">
        <v>251</v>
      </c>
      <c r="B264" s="117" t="str">
        <f>Stage!C289</f>
        <v>N 251</v>
      </c>
      <c r="C264" s="117">
        <f>Stage!F289</f>
        <v>135</v>
      </c>
      <c r="D264" s="117">
        <f>IF(Stage!G289="",0,LEN(TRIM(Stage!G289))-LEN(SUBSTITUTE(TRIM(Stage!G289),",",""))+1)</f>
        <v>3</v>
      </c>
      <c r="E264" s="117">
        <f>IF(ISERROR(FIND(",",Stage!H289)),VALUE(Stage!H289),(VALUE(LEFT(Stage!H289,FIND(",",Stage!H289)-1))+VALUE(TRIM(MID(Stage!H289,FIND("|",SUBSTITUTE(Stage!H289,",","|",LEN(Stage!H289)-LEN(SUBSTITUTE(Stage!H289,",",""))))+1,100))))/2)</f>
        <v>2.5</v>
      </c>
      <c r="F264" s="117">
        <f>IF(ISERROR(FIND(",",Stage!I289)),VALUE(Stage!I289),(VALUE(LEFT(Stage!I289,FIND(",",Stage!I289)-1))+VALUE(TRIM(MID(Stage!I289,FIND("|",SUBSTITUTE(Stage!I289,",","|",LEN(Stage!I289)-LEN(SUBSTITUTE(Stage!I289,",",""))))+1,100))))/2)</f>
        <v>0.4</v>
      </c>
      <c r="G264" s="117">
        <f>IF(ISERROR(FIND(",",Stage!J289)),VALUE(Stage!J289),VALUE(LEFT(Stage!J289,FIND(",",Stage!J289)-1)))</f>
        <v>33</v>
      </c>
      <c r="H264" s="117">
        <f>IF(Stage!K289="",0,LEN(TRIM(Stage!K289))-LEN(SUBSTITUTE(TRIM(Stage!K289),",",""))+1)</f>
        <v>3</v>
      </c>
      <c r="I264" s="117">
        <f>Stage!O289+Stage!P289+Stage!N289+Stage!Q289+Stage!M289</f>
        <v>0</v>
      </c>
      <c r="J264" s="117">
        <f>IF(Stage!F289=0,0,I264/Stage!F289)</f>
        <v>0</v>
      </c>
      <c r="K264" s="118">
        <f t="shared" si="9"/>
        <v>35.356241739757294</v>
      </c>
      <c r="L264" s="118">
        <f t="shared" si="11"/>
        <v>41.454219556574472</v>
      </c>
      <c r="M264" s="117" t="str">
        <f t="shared" si="10"/>
        <v>보통</v>
      </c>
    </row>
    <row r="265" spans="1:13" ht="15.95" customHeight="1" x14ac:dyDescent="0.3">
      <c r="A265" s="119">
        <v>252</v>
      </c>
      <c r="B265" s="119" t="str">
        <f>Stage!C290</f>
        <v>N 252</v>
      </c>
      <c r="C265" s="119">
        <f>Stage!F290</f>
        <v>150</v>
      </c>
      <c r="D265" s="119">
        <f>IF(Stage!G290="",0,LEN(TRIM(Stage!G290))-LEN(SUBSTITUTE(TRIM(Stage!G290),",",""))+1)</f>
        <v>3</v>
      </c>
      <c r="E265" s="119">
        <f>IF(ISERROR(FIND(",",Stage!H290)),VALUE(Stage!H290),(VALUE(LEFT(Stage!H290,FIND(",",Stage!H290)-1))+VALUE(TRIM(MID(Stage!H290,FIND("|",SUBSTITUTE(Stage!H290,",","|",LEN(Stage!H290)-LEN(SUBSTITUTE(Stage!H290,",",""))))+1,100))))/2)</f>
        <v>2.5</v>
      </c>
      <c r="F265" s="119">
        <f>IF(ISERROR(FIND(",",Stage!I290)),VALUE(Stage!I290),(VALUE(LEFT(Stage!I290,FIND(",",Stage!I290)-1))+VALUE(TRIM(MID(Stage!I290,FIND("|",SUBSTITUTE(Stage!I290,",","|",LEN(Stage!I290)-LEN(SUBSTITUTE(Stage!I290,",",""))))+1,100))))/2)</f>
        <v>0.4</v>
      </c>
      <c r="G265" s="119">
        <f>IF(ISERROR(FIND(",",Stage!J290)),VALUE(Stage!J290),VALUE(LEFT(Stage!J290,FIND(",",Stage!J290)-1)))</f>
        <v>30</v>
      </c>
      <c r="H265" s="119">
        <f>IF(Stage!K290="",0,LEN(TRIM(Stage!K290))-LEN(SUBSTITUTE(TRIM(Stage!K290),",",""))+1)</f>
        <v>4</v>
      </c>
      <c r="I265" s="119">
        <f>Stage!O290+Stage!P290+Stage!N290+Stage!Q290+Stage!M290</f>
        <v>1</v>
      </c>
      <c r="J265" s="119">
        <f>IF(Stage!F290=0,0,I265/Stage!F290)</f>
        <v>6.6666666666666671E-3</v>
      </c>
      <c r="K265" s="120">
        <f t="shared" si="9"/>
        <v>38.796667868156511</v>
      </c>
      <c r="L265" s="120">
        <f t="shared" si="11"/>
        <v>41.098432926607856</v>
      </c>
      <c r="M265" s="119" t="str">
        <f t="shared" si="10"/>
        <v>보통</v>
      </c>
    </row>
    <row r="266" spans="1:13" ht="15.95" customHeight="1" x14ac:dyDescent="0.3">
      <c r="A266" s="117">
        <v>253</v>
      </c>
      <c r="B266" s="117" t="str">
        <f>Stage!C291</f>
        <v>N 253</v>
      </c>
      <c r="C266" s="117">
        <f>Stage!F291</f>
        <v>160</v>
      </c>
      <c r="D266" s="117">
        <f>IF(Stage!G291="",0,LEN(TRIM(Stage!G291))-LEN(SUBSTITUTE(TRIM(Stage!G291),",",""))+1)</f>
        <v>3</v>
      </c>
      <c r="E266" s="117">
        <f>IF(ISERROR(FIND(",",Stage!H291)),VALUE(Stage!H291),(VALUE(LEFT(Stage!H291,FIND(",",Stage!H291)-1))+VALUE(TRIM(MID(Stage!H291,FIND("|",SUBSTITUTE(Stage!H291,",","|",LEN(Stage!H291)-LEN(SUBSTITUTE(Stage!H291,",",""))))+1,100))))/2)</f>
        <v>2.5</v>
      </c>
      <c r="F266" s="117">
        <f>IF(ISERROR(FIND(",",Stage!I291)),VALUE(Stage!I291),(VALUE(LEFT(Stage!I291,FIND(",",Stage!I291)-1))+VALUE(TRIM(MID(Stage!I291,FIND("|",SUBSTITUTE(Stage!I291,",","|",LEN(Stage!I291)-LEN(SUBSTITUTE(Stage!I291,",",""))))+1,100))))/2)</f>
        <v>0.4</v>
      </c>
      <c r="G266" s="117">
        <f>IF(ISERROR(FIND(",",Stage!J291)),VALUE(Stage!J291),VALUE(LEFT(Stage!J291,FIND(",",Stage!J291)-1)))</f>
        <v>32</v>
      </c>
      <c r="H266" s="117">
        <f>IF(Stage!K291="",0,LEN(TRIM(Stage!K291))-LEN(SUBSTITUTE(TRIM(Stage!K291),",",""))+1)</f>
        <v>4</v>
      </c>
      <c r="I266" s="117">
        <f>Stage!O291+Stage!P291+Stage!N291+Stage!Q291+Stage!M291</f>
        <v>2</v>
      </c>
      <c r="J266" s="117">
        <f>IF(Stage!F291=0,0,I266/Stage!F291)</f>
        <v>1.2500000000000001E-2</v>
      </c>
      <c r="K266" s="118">
        <f t="shared" si="9"/>
        <v>39.836897753213982</v>
      </c>
      <c r="L266" s="118">
        <f t="shared" si="11"/>
        <v>38.728850319851162</v>
      </c>
      <c r="M266" s="117" t="str">
        <f t="shared" si="10"/>
        <v>보통</v>
      </c>
    </row>
    <row r="267" spans="1:13" ht="15.95" customHeight="1" x14ac:dyDescent="0.3">
      <c r="A267" s="119">
        <v>254</v>
      </c>
      <c r="B267" s="119" t="str">
        <f>Stage!C292</f>
        <v>N 254</v>
      </c>
      <c r="C267" s="119">
        <f>Stage!F292</f>
        <v>165</v>
      </c>
      <c r="D267" s="119">
        <f>IF(Stage!G292="",0,LEN(TRIM(Stage!G292))-LEN(SUBSTITUTE(TRIM(Stage!G292),",",""))+1)</f>
        <v>3</v>
      </c>
      <c r="E267" s="119">
        <f>IF(ISERROR(FIND(",",Stage!H292)),VALUE(Stage!H292),(VALUE(LEFT(Stage!H292,FIND(",",Stage!H292)-1))+VALUE(TRIM(MID(Stage!H292,FIND("|",SUBSTITUTE(Stage!H292,",","|",LEN(Stage!H292)-LEN(SUBSTITUTE(Stage!H292,",",""))))+1,100))))/2)</f>
        <v>3</v>
      </c>
      <c r="F267" s="119">
        <f>IF(ISERROR(FIND(",",Stage!I292)),VALUE(Stage!I292),(VALUE(LEFT(Stage!I292,FIND(",",Stage!I292)-1))+VALUE(TRIM(MID(Stage!I292,FIND("|",SUBSTITUTE(Stage!I292,",","|",LEN(Stage!I292)-LEN(SUBSTITUTE(Stage!I292,",",""))))+1,100))))/2)</f>
        <v>0.3</v>
      </c>
      <c r="G267" s="119">
        <f>IF(ISERROR(FIND(",",Stage!J292)),VALUE(Stage!J292),VALUE(LEFT(Stage!J292,FIND(",",Stage!J292)-1)))</f>
        <v>33</v>
      </c>
      <c r="H267" s="119">
        <f>IF(Stage!K292="",0,LEN(TRIM(Stage!K292))-LEN(SUBSTITUTE(TRIM(Stage!K292),",",""))+1)</f>
        <v>4</v>
      </c>
      <c r="I267" s="119">
        <f>Stage!O292+Stage!P292+Stage!N292+Stage!Q292+Stage!M292</f>
        <v>3</v>
      </c>
      <c r="J267" s="119">
        <f>IF(Stage!F292=0,0,I267/Stage!F292)</f>
        <v>1.8181818181818181E-2</v>
      </c>
      <c r="K267" s="120">
        <f t="shared" si="9"/>
        <v>43.877681051776932</v>
      </c>
      <c r="L267" s="120">
        <f t="shared" si="11"/>
        <v>36.259187938498286</v>
      </c>
      <c r="M267" s="119" t="str">
        <f t="shared" si="10"/>
        <v>보통</v>
      </c>
    </row>
    <row r="268" spans="1:13" ht="15.95" customHeight="1" x14ac:dyDescent="0.3">
      <c r="A268" s="117">
        <v>255</v>
      </c>
      <c r="B268" s="117" t="str">
        <f>Stage!C293</f>
        <v>N 255</v>
      </c>
      <c r="C268" s="117">
        <f>Stage!F293</f>
        <v>140</v>
      </c>
      <c r="D268" s="117">
        <f>IF(Stage!G293="",0,LEN(TRIM(Stage!G293))-LEN(SUBSTITUTE(TRIM(Stage!G293),",",""))+1)</f>
        <v>3</v>
      </c>
      <c r="E268" s="117">
        <f>IF(ISERROR(FIND(",",Stage!H293)),VALUE(Stage!H293),(VALUE(LEFT(Stage!H293,FIND(",",Stage!H293)-1))+VALUE(TRIM(MID(Stage!H293,FIND("|",SUBSTITUTE(Stage!H293,",","|",LEN(Stage!H293)-LEN(SUBSTITUTE(Stage!H293,",",""))))+1,100))))/2)</f>
        <v>2.5</v>
      </c>
      <c r="F268" s="117">
        <f>IF(ISERROR(FIND(",",Stage!I293)),VALUE(Stage!I293),(VALUE(LEFT(Stage!I293,FIND(",",Stage!I293)-1))+VALUE(TRIM(MID(Stage!I293,FIND("|",SUBSTITUTE(Stage!I293,",","|",LEN(Stage!I293)-LEN(SUBSTITUTE(Stage!I293,",",""))))+1,100))))/2)</f>
        <v>0.4</v>
      </c>
      <c r="G268" s="117">
        <f>IF(ISERROR(FIND(",",Stage!J293)),VALUE(Stage!J293),VALUE(LEFT(Stage!J293,FIND(",",Stage!J293)-1)))</f>
        <v>35</v>
      </c>
      <c r="H268" s="117">
        <f>IF(Stage!K293="",0,LEN(TRIM(Stage!K293))-LEN(SUBSTITUTE(TRIM(Stage!K293),",",""))+1)</f>
        <v>3</v>
      </c>
      <c r="I268" s="117">
        <f>Stage!O293+Stage!P293+Stage!N293+Stage!Q293+Stage!M293</f>
        <v>0</v>
      </c>
      <c r="J268" s="117">
        <f>IF(Stage!F293=0,0,I268/Stage!F293)</f>
        <v>0</v>
      </c>
      <c r="K268" s="118">
        <f t="shared" si="9"/>
        <v>35.776763186351076</v>
      </c>
      <c r="L268" s="118">
        <f t="shared" si="11"/>
        <v>35.571102712818437</v>
      </c>
      <c r="M268" s="117" t="str">
        <f t="shared" si="10"/>
        <v>보통</v>
      </c>
    </row>
    <row r="269" spans="1:13" ht="15.95" customHeight="1" x14ac:dyDescent="0.3">
      <c r="A269" s="119">
        <v>256</v>
      </c>
      <c r="B269" s="119" t="str">
        <f>Stage!C294</f>
        <v>N 256</v>
      </c>
      <c r="C269" s="119">
        <f>Stage!F294</f>
        <v>70</v>
      </c>
      <c r="D269" s="119">
        <f>IF(Stage!G294="",0,LEN(TRIM(Stage!G294))-LEN(SUBSTITUTE(TRIM(Stage!G294),",",""))+1)</f>
        <v>2</v>
      </c>
      <c r="E269" s="119">
        <f>IF(ISERROR(FIND(",",Stage!H294)),VALUE(Stage!H294),(VALUE(LEFT(Stage!H294,FIND(",",Stage!H294)-1))+VALUE(TRIM(MID(Stage!H294,FIND("|",SUBSTITUTE(Stage!H294,",","|",LEN(Stage!H294)-LEN(SUBSTITUTE(Stage!H294,",",""))))+1,100))))/2)</f>
        <v>1</v>
      </c>
      <c r="F269" s="119">
        <f>IF(ISERROR(FIND(",",Stage!I294)),VALUE(Stage!I294),(VALUE(LEFT(Stage!I294,FIND(",",Stage!I294)-1))+VALUE(TRIM(MID(Stage!I294,FIND("|",SUBSTITUTE(Stage!I294,",","|",LEN(Stage!I294)-LEN(SUBSTITUTE(Stage!I294,",",""))))+1,100))))/2)</f>
        <v>0.6</v>
      </c>
      <c r="G269" s="119">
        <f>IF(ISERROR(FIND(",",Stage!J294)),VALUE(Stage!J294),VALUE(LEFT(Stage!J294,FIND(",",Stage!J294)-1)))</f>
        <v>17</v>
      </c>
      <c r="H269" s="119">
        <f>IF(Stage!K294="",0,LEN(TRIM(Stage!K294))-LEN(SUBSTITUTE(TRIM(Stage!K294),",",""))+1)</f>
        <v>3</v>
      </c>
      <c r="I269" s="119">
        <f>Stage!O294+Stage!P294+Stage!N294+Stage!Q294+Stage!M294</f>
        <v>0</v>
      </c>
      <c r="J269" s="119">
        <f>IF(Stage!F294=0,0,I269/Stage!F294)</f>
        <v>0</v>
      </c>
      <c r="K269" s="120">
        <f t="shared" si="9"/>
        <v>23.007929832992914</v>
      </c>
      <c r="L269" s="120">
        <f t="shared" si="11"/>
        <v>36.73504600249764</v>
      </c>
      <c r="M269" s="119" t="str">
        <f t="shared" si="10"/>
        <v>쉬움</v>
      </c>
    </row>
    <row r="270" spans="1:13" ht="15.95" customHeight="1" x14ac:dyDescent="0.3">
      <c r="A270" s="117">
        <v>257</v>
      </c>
      <c r="B270" s="117" t="str">
        <f>Stage!C295</f>
        <v>N 257</v>
      </c>
      <c r="C270" s="117">
        <f>Stage!F295</f>
        <v>135</v>
      </c>
      <c r="D270" s="117">
        <f>IF(Stage!G295="",0,LEN(TRIM(Stage!G295))-LEN(SUBSTITUTE(TRIM(Stage!G295),",",""))+1)</f>
        <v>3</v>
      </c>
      <c r="E270" s="117">
        <f>IF(ISERROR(FIND(",",Stage!H295)),VALUE(Stage!H295),(VALUE(LEFT(Stage!H295,FIND(",",Stage!H295)-1))+VALUE(TRIM(MID(Stage!H295,FIND("|",SUBSTITUTE(Stage!H295,",","|",LEN(Stage!H295)-LEN(SUBSTITUTE(Stage!H295,",",""))))+1,100))))/2)</f>
        <v>2.5</v>
      </c>
      <c r="F270" s="117">
        <f>IF(ISERROR(FIND(",",Stage!I295)),VALUE(Stage!I295),(VALUE(LEFT(Stage!I295,FIND(",",Stage!I295)-1))+VALUE(TRIM(MID(Stage!I295,FIND("|",SUBSTITUTE(Stage!I295,",","|",LEN(Stage!I295)-LEN(SUBSTITUTE(Stage!I295,",",""))))+1,100))))/2)</f>
        <v>0.4</v>
      </c>
      <c r="G270" s="117">
        <f>IF(ISERROR(FIND(",",Stage!J295)),VALUE(Stage!J295),VALUE(LEFT(Stage!J295,FIND(",",Stage!J295)-1)))</f>
        <v>33</v>
      </c>
      <c r="H270" s="117">
        <f>IF(Stage!K295="",0,LEN(TRIM(Stage!K295))-LEN(SUBSTITUTE(TRIM(Stage!K295),",",""))+1)</f>
        <v>3</v>
      </c>
      <c r="I270" s="117">
        <f>Stage!O295+Stage!P295+Stage!N295+Stage!Q295+Stage!M295</f>
        <v>0</v>
      </c>
      <c r="J270" s="117">
        <f>IF(Stage!F295=0,0,I270/Stage!F295)</f>
        <v>0</v>
      </c>
      <c r="K270" s="118">
        <f t="shared" ref="K270:K333" si="12">(MAX(0,MIN(1,(C270-$E$3)/MAX($F$3-$E$3,0.0001)))*$C$3+MAX(0,MIN(1,(D270-$E$4)/MAX($F$4-$E$4,0.0001)))*$C$4+MAX(0,MIN(1,(E270-$E$5)/MAX($F$5-$E$5,0.0001)))*$C$5+(1-MAX(0,MIN(1,(F270-$E$6)/MAX($F$6-$E$6,0.0001))))*$C$6+(1-MAX(0,MIN(1,(G270-$E$7)/MAX($F$7-$E$7,0.0001))))*$C$7+MAX(0,MIN(1,(H270-$E$8)/MAX($F$8-$E$8,0.0001)))*$C$8+MAX(0,MIN(1,(J270-$E$9)/MAX($F$9-$E$9,0.0001)))*$C$9)/$C$10*100</f>
        <v>35.356241739757294</v>
      </c>
      <c r="L270" s="118">
        <f t="shared" si="11"/>
        <v>35.114862429412469</v>
      </c>
      <c r="M270" s="117" t="str">
        <f t="shared" ref="M270:M333" si="13">IF(K270&lt;25,"쉬움",IF(K270&lt;45,"보통",IF(K270&lt;60,"어려움",IF(K270&lt;75,"매우어려움","극악"))))</f>
        <v>보통</v>
      </c>
    </row>
    <row r="271" spans="1:13" ht="15.95" customHeight="1" x14ac:dyDescent="0.3">
      <c r="A271" s="119">
        <v>258</v>
      </c>
      <c r="B271" s="119" t="str">
        <f>Stage!C296</f>
        <v>N 258</v>
      </c>
      <c r="C271" s="119">
        <f>Stage!F296</f>
        <v>180</v>
      </c>
      <c r="D271" s="119">
        <f>IF(Stage!G296="",0,LEN(TRIM(Stage!G296))-LEN(SUBSTITUTE(TRIM(Stage!G296),",",""))+1)</f>
        <v>3</v>
      </c>
      <c r="E271" s="119">
        <f>IF(ISERROR(FIND(",",Stage!H296)),VALUE(Stage!H296),(VALUE(LEFT(Stage!H296,FIND(",",Stage!H296)-1))+VALUE(TRIM(MID(Stage!H296,FIND("|",SUBSTITUTE(Stage!H296,",","|",LEN(Stage!H296)-LEN(SUBSTITUTE(Stage!H296,",",""))))+1,100))))/2)</f>
        <v>3</v>
      </c>
      <c r="F271" s="119">
        <f>IF(ISERROR(FIND(",",Stage!I296)),VALUE(Stage!I296),(VALUE(LEFT(Stage!I296,FIND(",",Stage!I296)-1))+VALUE(TRIM(MID(Stage!I296,FIND("|",SUBSTITUTE(Stage!I296,",","|",LEN(Stage!I296)-LEN(SUBSTITUTE(Stage!I296,",",""))))+1,100))))/2)</f>
        <v>0.3</v>
      </c>
      <c r="G271" s="119">
        <f>IF(ISERROR(FIND(",",Stage!J296)),VALUE(Stage!J296),VALUE(LEFT(Stage!J296,FIND(",",Stage!J296)-1)))</f>
        <v>36</v>
      </c>
      <c r="H271" s="119">
        <f>IF(Stage!K296="",0,LEN(TRIM(Stage!K296))-LEN(SUBSTITUTE(TRIM(Stage!K296),",",""))+1)</f>
        <v>4</v>
      </c>
      <c r="I271" s="119">
        <f>Stage!O296+Stage!P296+Stage!N296+Stage!Q296+Stage!M296</f>
        <v>6</v>
      </c>
      <c r="J271" s="119">
        <f>IF(Stage!F296=0,0,I271/Stage!F296)</f>
        <v>3.3333333333333333E-2</v>
      </c>
      <c r="K271" s="120">
        <f t="shared" si="12"/>
        <v>45.65661420160999</v>
      </c>
      <c r="L271" s="120">
        <f t="shared" si="11"/>
        <v>36.974208017942246</v>
      </c>
      <c r="M271" s="119" t="str">
        <f t="shared" si="13"/>
        <v>어려움</v>
      </c>
    </row>
    <row r="272" spans="1:13" ht="15.95" customHeight="1" x14ac:dyDescent="0.3">
      <c r="A272" s="117">
        <v>259</v>
      </c>
      <c r="B272" s="117" t="str">
        <f>Stage!C297</f>
        <v>N 259</v>
      </c>
      <c r="C272" s="117">
        <f>Stage!F297</f>
        <v>140</v>
      </c>
      <c r="D272" s="117">
        <f>IF(Stage!G297="",0,LEN(TRIM(Stage!G297))-LEN(SUBSTITUTE(TRIM(Stage!G297),",",""))+1)</f>
        <v>3</v>
      </c>
      <c r="E272" s="117">
        <f>IF(ISERROR(FIND(",",Stage!H297)),VALUE(Stage!H297),(VALUE(LEFT(Stage!H297,FIND(",",Stage!H297)-1))+VALUE(TRIM(MID(Stage!H297,FIND("|",SUBSTITUTE(Stage!H297,",","|",LEN(Stage!H297)-LEN(SUBSTITUTE(Stage!H297,",",""))))+1,100))))/2)</f>
        <v>2.5</v>
      </c>
      <c r="F272" s="117">
        <f>IF(ISERROR(FIND(",",Stage!I297)),VALUE(Stage!I297),(VALUE(LEFT(Stage!I297,FIND(",",Stage!I297)-1))+VALUE(TRIM(MID(Stage!I297,FIND("|",SUBSTITUTE(Stage!I297,",","|",LEN(Stage!I297)-LEN(SUBSTITUTE(Stage!I297,",",""))))+1,100))))/2)</f>
        <v>0.4</v>
      </c>
      <c r="G272" s="117">
        <f>IF(ISERROR(FIND(",",Stage!J297)),VALUE(Stage!J297),VALUE(LEFT(Stage!J297,FIND(",",Stage!J297)-1)))</f>
        <v>35</v>
      </c>
      <c r="H272" s="117">
        <f>IF(Stage!K297="",0,LEN(TRIM(Stage!K297))-LEN(SUBSTITUTE(TRIM(Stage!K297),",",""))+1)</f>
        <v>3</v>
      </c>
      <c r="I272" s="117">
        <f>Stage!O297+Stage!P297+Stage!N297+Stage!Q297+Stage!M297</f>
        <v>0</v>
      </c>
      <c r="J272" s="117">
        <f>IF(Stage!F297=0,0,I272/Stage!F297)</f>
        <v>0</v>
      </c>
      <c r="K272" s="118">
        <f t="shared" si="12"/>
        <v>35.776763186351076</v>
      </c>
      <c r="L272" s="118">
        <f t="shared" ref="L272:L335" si="14">AVERAGE(K270:K274)</f>
        <v>39.659177379951146</v>
      </c>
      <c r="M272" s="117" t="str">
        <f t="shared" si="13"/>
        <v>보통</v>
      </c>
    </row>
    <row r="273" spans="1:13" ht="15.95" customHeight="1" x14ac:dyDescent="0.3">
      <c r="A273" s="119">
        <v>260</v>
      </c>
      <c r="B273" s="119" t="str">
        <f>Stage!C298</f>
        <v>N 260</v>
      </c>
      <c r="C273" s="119">
        <f>Stage!F298</f>
        <v>175</v>
      </c>
      <c r="D273" s="119">
        <f>IF(Stage!G298="",0,LEN(TRIM(Stage!G298))-LEN(SUBSTITUTE(TRIM(Stage!G298),",",""))+1)</f>
        <v>3</v>
      </c>
      <c r="E273" s="119">
        <f>IF(ISERROR(FIND(",",Stage!H298)),VALUE(Stage!H298),(VALUE(LEFT(Stage!H298,FIND(",",Stage!H298)-1))+VALUE(TRIM(MID(Stage!H298,FIND("|",SUBSTITUTE(Stage!H298,",","|",LEN(Stage!H298)-LEN(SUBSTITUTE(Stage!H298,",",""))))+1,100))))/2)</f>
        <v>3</v>
      </c>
      <c r="F273" s="119">
        <f>IF(ISERROR(FIND(",",Stage!I298)),VALUE(Stage!I298),(VALUE(LEFT(Stage!I298,FIND(",",Stage!I298)-1))+VALUE(TRIM(MID(Stage!I298,FIND("|",SUBSTITUTE(Stage!I298,",","|",LEN(Stage!I298)-LEN(SUBSTITUTE(Stage!I298,",",""))))+1,100))))/2)</f>
        <v>0.3</v>
      </c>
      <c r="G273" s="119">
        <f>IF(ISERROR(FIND(",",Stage!J298)),VALUE(Stage!J298),VALUE(LEFT(Stage!J298,FIND(",",Stage!J298)-1)))</f>
        <v>35</v>
      </c>
      <c r="H273" s="119">
        <f>IF(Stage!K298="",0,LEN(TRIM(Stage!K298))-LEN(SUBSTITUTE(TRIM(Stage!K298),",",""))+1)</f>
        <v>4</v>
      </c>
      <c r="I273" s="119">
        <f>Stage!O298+Stage!P298+Stage!N298+Stage!Q298+Stage!M298</f>
        <v>5</v>
      </c>
      <c r="J273" s="119">
        <f>IF(Stage!F298=0,0,I273/Stage!F298)</f>
        <v>2.8571428571428571E-2</v>
      </c>
      <c r="K273" s="120">
        <f t="shared" si="12"/>
        <v>45.073491128999954</v>
      </c>
      <c r="L273" s="120">
        <f t="shared" si="14"/>
        <v>40.834054227241779</v>
      </c>
      <c r="M273" s="119" t="str">
        <f t="shared" si="13"/>
        <v>어려움</v>
      </c>
    </row>
    <row r="274" spans="1:13" ht="15.95" customHeight="1" x14ac:dyDescent="0.3">
      <c r="A274" s="117">
        <v>261</v>
      </c>
      <c r="B274" s="117" t="str">
        <f>Stage!C299</f>
        <v>N 261</v>
      </c>
      <c r="C274" s="117">
        <f>Stage!F299</f>
        <v>145</v>
      </c>
      <c r="D274" s="117">
        <f>IF(Stage!G299="",0,LEN(TRIM(Stage!G299))-LEN(SUBSTITUTE(TRIM(Stage!G299),",",""))+1)</f>
        <v>3</v>
      </c>
      <c r="E274" s="117">
        <f>IF(ISERROR(FIND(",",Stage!H299)),VALUE(Stage!H299),(VALUE(LEFT(Stage!H299,FIND(",",Stage!H299)-1))+VALUE(TRIM(MID(Stage!H299,FIND("|",SUBSTITUTE(Stage!H299,",","|",LEN(Stage!H299)-LEN(SUBSTITUTE(Stage!H299,",",""))))+1,100))))/2)</f>
        <v>2.5</v>
      </c>
      <c r="F274" s="117">
        <f>IF(ISERROR(FIND(",",Stage!I299)),VALUE(Stage!I299),(VALUE(LEFT(Stage!I299,FIND(",",Stage!I299)-1))+VALUE(TRIM(MID(Stage!I299,FIND("|",SUBSTITUTE(Stage!I299,",","|",LEN(Stage!I299)-LEN(SUBSTITUTE(Stage!I299,",",""))))+1,100))))/2)</f>
        <v>0.4</v>
      </c>
      <c r="G274" s="117">
        <f>IF(ISERROR(FIND(",",Stage!J299)),VALUE(Stage!J299),VALUE(LEFT(Stage!J299,FIND(",",Stage!J299)-1)))</f>
        <v>36</v>
      </c>
      <c r="H274" s="117">
        <f>IF(Stage!K299="",0,LEN(TRIM(Stage!K299))-LEN(SUBSTITUTE(TRIM(Stage!K299),",",""))+1)</f>
        <v>3</v>
      </c>
      <c r="I274" s="117">
        <f>Stage!O299+Stage!P299+Stage!N299+Stage!Q299+Stage!M299</f>
        <v>1</v>
      </c>
      <c r="J274" s="117">
        <f>IF(Stage!F299=0,0,I274/Stage!F299)</f>
        <v>6.8965517241379309E-3</v>
      </c>
      <c r="K274" s="118">
        <f t="shared" si="12"/>
        <v>36.432776643037371</v>
      </c>
      <c r="L274" s="118">
        <f t="shared" si="14"/>
        <v>41.597184508790903</v>
      </c>
      <c r="M274" s="117" t="str">
        <f t="shared" si="13"/>
        <v>보통</v>
      </c>
    </row>
    <row r="275" spans="1:13" ht="15.95" customHeight="1" x14ac:dyDescent="0.3">
      <c r="A275" s="119">
        <v>262</v>
      </c>
      <c r="B275" s="119" t="str">
        <f>Stage!C300</f>
        <v>N 262</v>
      </c>
      <c r="C275" s="119">
        <f>Stage!F300</f>
        <v>160</v>
      </c>
      <c r="D275" s="119">
        <f>IF(Stage!G300="",0,LEN(TRIM(Stage!G300))-LEN(SUBSTITUTE(TRIM(Stage!G300),",",""))+1)</f>
        <v>3</v>
      </c>
      <c r="E275" s="119">
        <f>IF(ISERROR(FIND(",",Stage!H300)),VALUE(Stage!H300),(VALUE(LEFT(Stage!H300,FIND(",",Stage!H300)-1))+VALUE(TRIM(MID(Stage!H300,FIND("|",SUBSTITUTE(Stage!H300,",","|",LEN(Stage!H300)-LEN(SUBSTITUTE(Stage!H300,",",""))))+1,100))))/2)</f>
        <v>2.5</v>
      </c>
      <c r="F275" s="119">
        <f>IF(ISERROR(FIND(",",Stage!I300)),VALUE(Stage!I300),(VALUE(LEFT(Stage!I300,FIND(",",Stage!I300)-1))+VALUE(TRIM(MID(Stage!I300,FIND("|",SUBSTITUTE(Stage!I300,",","|",LEN(Stage!I300)-LEN(SUBSTITUTE(Stage!I300,",",""))))+1,100))))/2)</f>
        <v>0.3</v>
      </c>
      <c r="G275" s="119">
        <f>IF(ISERROR(FIND(",",Stage!J300)),VALUE(Stage!J300),VALUE(LEFT(Stage!J300,FIND(",",Stage!J300)-1)))</f>
        <v>32</v>
      </c>
      <c r="H275" s="119">
        <f>IF(Stage!K300="",0,LEN(TRIM(Stage!K300))-LEN(SUBSTITUTE(TRIM(Stage!K300),",",""))+1)</f>
        <v>4</v>
      </c>
      <c r="I275" s="119">
        <f>Stage!O300+Stage!P300+Stage!N300+Stage!Q300+Stage!M300</f>
        <v>2</v>
      </c>
      <c r="J275" s="119">
        <f>IF(Stage!F300=0,0,I275/Stage!F300)</f>
        <v>1.2500000000000001E-2</v>
      </c>
      <c r="K275" s="120">
        <f t="shared" si="12"/>
        <v>41.230625976210497</v>
      </c>
      <c r="L275" s="120">
        <f t="shared" si="14"/>
        <v>43.45653009732068</v>
      </c>
      <c r="M275" s="119" t="str">
        <f t="shared" si="13"/>
        <v>보통</v>
      </c>
    </row>
    <row r="276" spans="1:13" ht="15.95" customHeight="1" x14ac:dyDescent="0.3">
      <c r="A276" s="117">
        <v>263</v>
      </c>
      <c r="B276" s="117" t="str">
        <f>Stage!C301</f>
        <v>N 263</v>
      </c>
      <c r="C276" s="117">
        <f>Stage!F301</f>
        <v>200</v>
      </c>
      <c r="D276" s="117">
        <f>IF(Stage!G301="",0,LEN(TRIM(Stage!G301))-LEN(SUBSTITUTE(TRIM(Stage!G301),",",""))+1)</f>
        <v>3</v>
      </c>
      <c r="E276" s="117">
        <f>IF(ISERROR(FIND(",",Stage!H301)),VALUE(Stage!H301),(VALUE(LEFT(Stage!H301,FIND(",",Stage!H301)-1))+VALUE(TRIM(MID(Stage!H301,FIND("|",SUBSTITUTE(Stage!H301,",","|",LEN(Stage!H301)-LEN(SUBSTITUTE(Stage!H301,",",""))))+1,100))))/2)</f>
        <v>3</v>
      </c>
      <c r="F276" s="117">
        <f>IF(ISERROR(FIND(",",Stage!I301)),VALUE(Stage!I301),(VALUE(LEFT(Stage!I301,FIND(",",Stage!I301)-1))+VALUE(TRIM(MID(Stage!I301,FIND("|",SUBSTITUTE(Stage!I301,",","|",LEN(Stage!I301)-LEN(SUBSTITUTE(Stage!I301,",",""))))+1,100))))/2)</f>
        <v>0.2</v>
      </c>
      <c r="G276" s="117">
        <f>IF(ISERROR(FIND(",",Stage!J301)),VALUE(Stage!J301),VALUE(LEFT(Stage!J301,FIND(",",Stage!J301)-1)))</f>
        <v>40</v>
      </c>
      <c r="H276" s="117">
        <f>IF(Stage!K301="",0,LEN(TRIM(Stage!K301))-LEN(SUBSTITUTE(TRIM(Stage!K301),",",""))+1)</f>
        <v>4</v>
      </c>
      <c r="I276" s="117">
        <f>Stage!O301+Stage!P301+Stage!N301+Stage!Q301+Stage!M301</f>
        <v>11</v>
      </c>
      <c r="J276" s="117">
        <f>IF(Stage!F301=0,0,I276/Stage!F301)</f>
        <v>5.5E-2</v>
      </c>
      <c r="K276" s="118">
        <f t="shared" si="12"/>
        <v>49.472265609355603</v>
      </c>
      <c r="L276" s="118">
        <f t="shared" si="14"/>
        <v>43.337992522492598</v>
      </c>
      <c r="M276" s="117" t="str">
        <f t="shared" si="13"/>
        <v>어려움</v>
      </c>
    </row>
    <row r="277" spans="1:13" ht="15.95" customHeight="1" x14ac:dyDescent="0.3">
      <c r="A277" s="119">
        <v>264</v>
      </c>
      <c r="B277" s="119" t="str">
        <f>Stage!C302</f>
        <v>N 264</v>
      </c>
      <c r="C277" s="119">
        <f>Stage!F302</f>
        <v>175</v>
      </c>
      <c r="D277" s="119">
        <f>IF(Stage!G302="",0,LEN(TRIM(Stage!G302))-LEN(SUBSTITUTE(TRIM(Stage!G302),",",""))+1)</f>
        <v>3</v>
      </c>
      <c r="E277" s="119">
        <f>IF(ISERROR(FIND(",",Stage!H302)),VALUE(Stage!H302),(VALUE(LEFT(Stage!H302,FIND(",",Stage!H302)-1))+VALUE(TRIM(MID(Stage!H302,FIND("|",SUBSTITUTE(Stage!H302,",","|",LEN(Stage!H302)-LEN(SUBSTITUTE(Stage!H302,",",""))))+1,100))))/2)</f>
        <v>3</v>
      </c>
      <c r="F277" s="119">
        <f>IF(ISERROR(FIND(",",Stage!I302)),VALUE(Stage!I302),(VALUE(LEFT(Stage!I302,FIND(",",Stage!I302)-1))+VALUE(TRIM(MID(Stage!I302,FIND("|",SUBSTITUTE(Stage!I302,",","|",LEN(Stage!I302)-LEN(SUBSTITUTE(Stage!I302,",",""))))+1,100))))/2)</f>
        <v>0.3</v>
      </c>
      <c r="G277" s="119">
        <f>IF(ISERROR(FIND(",",Stage!J302)),VALUE(Stage!J302),VALUE(LEFT(Stage!J302,FIND(",",Stage!J302)-1)))</f>
        <v>35</v>
      </c>
      <c r="H277" s="119">
        <f>IF(Stage!K302="",0,LEN(TRIM(Stage!K302))-LEN(SUBSTITUTE(TRIM(Stage!K302),",",""))+1)</f>
        <v>4</v>
      </c>
      <c r="I277" s="119">
        <f>Stage!O302+Stage!P302+Stage!N302+Stage!Q302+Stage!M302</f>
        <v>5</v>
      </c>
      <c r="J277" s="119">
        <f>IF(Stage!F302=0,0,I277/Stage!F302)</f>
        <v>2.8571428571428571E-2</v>
      </c>
      <c r="K277" s="120">
        <f t="shared" si="12"/>
        <v>45.073491128999954</v>
      </c>
      <c r="L277" s="120">
        <f t="shared" si="14"/>
        <v>43.337992522492598</v>
      </c>
      <c r="M277" s="119" t="str">
        <f t="shared" si="13"/>
        <v>어려움</v>
      </c>
    </row>
    <row r="278" spans="1:13" ht="15.95" customHeight="1" x14ac:dyDescent="0.3">
      <c r="A278" s="117">
        <v>265</v>
      </c>
      <c r="B278" s="117" t="str">
        <f>Stage!C303</f>
        <v>N 265</v>
      </c>
      <c r="C278" s="117">
        <f>Stage!F303</f>
        <v>170</v>
      </c>
      <c r="D278" s="117">
        <f>IF(Stage!G303="",0,LEN(TRIM(Stage!G303))-LEN(SUBSTITUTE(TRIM(Stage!G303),",",""))+1)</f>
        <v>3</v>
      </c>
      <c r="E278" s="117">
        <f>IF(ISERROR(FIND(",",Stage!H303)),VALUE(Stage!H303),(VALUE(LEFT(Stage!H303,FIND(",",Stage!H303)-1))+VALUE(TRIM(MID(Stage!H303,FIND("|",SUBSTITUTE(Stage!H303,",","|",LEN(Stage!H303)-LEN(SUBSTITUTE(Stage!H303,",",""))))+1,100))))/2)</f>
        <v>3</v>
      </c>
      <c r="F278" s="117">
        <f>IF(ISERROR(FIND(",",Stage!I303)),VALUE(Stage!I303),(VALUE(LEFT(Stage!I303,FIND(",",Stage!I303)-1))+VALUE(TRIM(MID(Stage!I303,FIND("|",SUBSTITUTE(Stage!I303,",","|",LEN(Stage!I303)-LEN(SUBSTITUTE(Stage!I303,",",""))))+1,100))))/2)</f>
        <v>0.3</v>
      </c>
      <c r="G278" s="117">
        <f>IF(ISERROR(FIND(",",Stage!J303)),VALUE(Stage!J303),VALUE(LEFT(Stage!J303,FIND(",",Stage!J303)-1)))</f>
        <v>34</v>
      </c>
      <c r="H278" s="117">
        <f>IF(Stage!K303="",0,LEN(TRIM(Stage!K303))-LEN(SUBSTITUTE(TRIM(Stage!K303),",",""))+1)</f>
        <v>4</v>
      </c>
      <c r="I278" s="117">
        <f>Stage!O303+Stage!P303+Stage!N303+Stage!Q303+Stage!M303</f>
        <v>4</v>
      </c>
      <c r="J278" s="117">
        <f>IF(Stage!F303=0,0,I278/Stage!F303)</f>
        <v>2.3529411764705882E-2</v>
      </c>
      <c r="K278" s="118">
        <f t="shared" si="12"/>
        <v>44.480803254859552</v>
      </c>
      <c r="L278" s="118">
        <f t="shared" si="14"/>
        <v>42.933836530352664</v>
      </c>
      <c r="M278" s="117" t="str">
        <f t="shared" si="13"/>
        <v>보통</v>
      </c>
    </row>
    <row r="279" spans="1:13" ht="15.95" customHeight="1" x14ac:dyDescent="0.3">
      <c r="A279" s="119">
        <v>266</v>
      </c>
      <c r="B279" s="119" t="str">
        <f>Stage!C304</f>
        <v>N 266</v>
      </c>
      <c r="C279" s="119">
        <f>Stage!F304</f>
        <v>145</v>
      </c>
      <c r="D279" s="119">
        <f>IF(Stage!G304="",0,LEN(TRIM(Stage!G304))-LEN(SUBSTITUTE(TRIM(Stage!G304),",",""))+1)</f>
        <v>3</v>
      </c>
      <c r="E279" s="119">
        <f>IF(ISERROR(FIND(",",Stage!H304)),VALUE(Stage!H304),(VALUE(LEFT(Stage!H304,FIND(",",Stage!H304)-1))+VALUE(TRIM(MID(Stage!H304,FIND("|",SUBSTITUTE(Stage!H304,",","|",LEN(Stage!H304)-LEN(SUBSTITUTE(Stage!H304,",",""))))+1,100))))/2)</f>
        <v>2.5</v>
      </c>
      <c r="F279" s="119">
        <f>IF(ISERROR(FIND(",",Stage!I304)),VALUE(Stage!I304),(VALUE(LEFT(Stage!I304,FIND(",",Stage!I304)-1))+VALUE(TRIM(MID(Stage!I304,FIND("|",SUBSTITUTE(Stage!I304,",","|",LEN(Stage!I304)-LEN(SUBSTITUTE(Stage!I304,",",""))))+1,100))))/2)</f>
        <v>0.4</v>
      </c>
      <c r="G279" s="119">
        <f>IF(ISERROR(FIND(",",Stage!J304)),VALUE(Stage!J304),VALUE(LEFT(Stage!J304,FIND(",",Stage!J304)-1)))</f>
        <v>36</v>
      </c>
      <c r="H279" s="119">
        <f>IF(Stage!K304="",0,LEN(TRIM(Stage!K304))-LEN(SUBSTITUTE(TRIM(Stage!K304),",",""))+1)</f>
        <v>3</v>
      </c>
      <c r="I279" s="119">
        <f>Stage!O304+Stage!P304+Stage!N304+Stage!Q304+Stage!M304</f>
        <v>1</v>
      </c>
      <c r="J279" s="119">
        <f>IF(Stage!F304=0,0,I279/Stage!F304)</f>
        <v>6.8965517241379309E-3</v>
      </c>
      <c r="K279" s="120">
        <f t="shared" si="12"/>
        <v>36.432776643037371</v>
      </c>
      <c r="L279" s="120">
        <f t="shared" si="14"/>
        <v>42.789319483060176</v>
      </c>
      <c r="M279" s="119" t="str">
        <f t="shared" si="13"/>
        <v>보통</v>
      </c>
    </row>
    <row r="280" spans="1:13" ht="15.95" customHeight="1" x14ac:dyDescent="0.3">
      <c r="A280" s="117">
        <v>267</v>
      </c>
      <c r="B280" s="117" t="str">
        <f>Stage!C305</f>
        <v>N 267</v>
      </c>
      <c r="C280" s="117">
        <f>Stage!F305</f>
        <v>155</v>
      </c>
      <c r="D280" s="117">
        <f>IF(Stage!G305="",0,LEN(TRIM(Stage!G305))-LEN(SUBSTITUTE(TRIM(Stage!G305),",",""))+1)</f>
        <v>3</v>
      </c>
      <c r="E280" s="117">
        <f>IF(ISERROR(FIND(",",Stage!H305)),VALUE(Stage!H305),(VALUE(LEFT(Stage!H305,FIND(",",Stage!H305)-1))+VALUE(TRIM(MID(Stage!H305,FIND("|",SUBSTITUTE(Stage!H305,",","|",LEN(Stage!H305)-LEN(SUBSTITUTE(Stage!H305,",",""))))+1,100))))/2)</f>
        <v>2.5</v>
      </c>
      <c r="F280" s="117">
        <f>IF(ISERROR(FIND(",",Stage!I305)),VALUE(Stage!I305),(VALUE(LEFT(Stage!I305,FIND(",",Stage!I305)-1))+VALUE(TRIM(MID(Stage!I305,FIND("|",SUBSTITUTE(Stage!I305,",","|",LEN(Stage!I305)-LEN(SUBSTITUTE(Stage!I305,",",""))))+1,100))))/2)</f>
        <v>0.4</v>
      </c>
      <c r="G280" s="117">
        <f>IF(ISERROR(FIND(",",Stage!J305)),VALUE(Stage!J305),VALUE(LEFT(Stage!J305,FIND(",",Stage!J305)-1)))</f>
        <v>31</v>
      </c>
      <c r="H280" s="117">
        <f>IF(Stage!K305="",0,LEN(TRIM(Stage!K305))-LEN(SUBSTITUTE(TRIM(Stage!K305),",",""))+1)</f>
        <v>4</v>
      </c>
      <c r="I280" s="117">
        <f>Stage!O305+Stage!P305+Stage!N305+Stage!Q305+Stage!M305</f>
        <v>1</v>
      </c>
      <c r="J280" s="117">
        <f>IF(Stage!F305=0,0,I280/Stage!F305)</f>
        <v>6.4516129032258064E-3</v>
      </c>
      <c r="K280" s="118">
        <f t="shared" si="12"/>
        <v>39.209846015510841</v>
      </c>
      <c r="L280" s="118">
        <f t="shared" si="14"/>
        <v>41.014078183849151</v>
      </c>
      <c r="M280" s="117" t="str">
        <f t="shared" si="13"/>
        <v>보통</v>
      </c>
    </row>
    <row r="281" spans="1:13" ht="15.95" customHeight="1" x14ac:dyDescent="0.3">
      <c r="A281" s="119">
        <v>268</v>
      </c>
      <c r="B281" s="119" t="str">
        <f>Stage!C306</f>
        <v>N 268</v>
      </c>
      <c r="C281" s="119">
        <f>Stage!F306</f>
        <v>195</v>
      </c>
      <c r="D281" s="119">
        <f>IF(Stage!G306="",0,LEN(TRIM(Stage!G306))-LEN(SUBSTITUTE(TRIM(Stage!G306),",",""))+1)</f>
        <v>3</v>
      </c>
      <c r="E281" s="119">
        <f>IF(ISERROR(FIND(",",Stage!H306)),VALUE(Stage!H306),(VALUE(LEFT(Stage!H306,FIND(",",Stage!H306)-1))+VALUE(TRIM(MID(Stage!H306,FIND("|",SUBSTITUTE(Stage!H306,",","|",LEN(Stage!H306)-LEN(SUBSTITUTE(Stage!H306,",",""))))+1,100))))/2)</f>
        <v>3</v>
      </c>
      <c r="F281" s="119">
        <f>IF(ISERROR(FIND(",",Stage!I306)),VALUE(Stage!I306),(VALUE(LEFT(Stage!I306,FIND(",",Stage!I306)-1))+VALUE(TRIM(MID(Stage!I306,FIND("|",SUBSTITUTE(Stage!I306,",","|",LEN(Stage!I306)-LEN(SUBSTITUTE(Stage!I306,",",""))))+1,100))))/2)</f>
        <v>0.2</v>
      </c>
      <c r="G281" s="119">
        <f>IF(ISERROR(FIND(",",Stage!J306)),VALUE(Stage!J306),VALUE(LEFT(Stage!J306,FIND(",",Stage!J306)-1)))</f>
        <v>39</v>
      </c>
      <c r="H281" s="119">
        <f>IF(Stage!K306="",0,LEN(TRIM(Stage!K306))-LEN(SUBSTITUTE(TRIM(Stage!K306),",",""))+1)</f>
        <v>4</v>
      </c>
      <c r="I281" s="119">
        <f>Stage!O306+Stage!P306+Stage!N306+Stage!Q306+Stage!M306</f>
        <v>9</v>
      </c>
      <c r="J281" s="119">
        <f>IF(Stage!F306=0,0,I281/Stage!F306)</f>
        <v>4.6153846153846156E-2</v>
      </c>
      <c r="K281" s="120">
        <f t="shared" si="12"/>
        <v>48.749680372893152</v>
      </c>
      <c r="L281" s="120">
        <f t="shared" si="14"/>
        <v>40.364042728119344</v>
      </c>
      <c r="M281" s="119" t="str">
        <f t="shared" si="13"/>
        <v>어려움</v>
      </c>
    </row>
    <row r="282" spans="1:13" ht="15.95" customHeight="1" x14ac:dyDescent="0.3">
      <c r="A282" s="117">
        <v>269</v>
      </c>
      <c r="B282" s="117" t="str">
        <f>Stage!C307</f>
        <v>N 269</v>
      </c>
      <c r="C282" s="117">
        <f>Stage!F307</f>
        <v>145</v>
      </c>
      <c r="D282" s="117">
        <f>IF(Stage!G307="",0,LEN(TRIM(Stage!G307))-LEN(SUBSTITUTE(TRIM(Stage!G307),",",""))+1)</f>
        <v>3</v>
      </c>
      <c r="E282" s="117">
        <f>IF(ISERROR(FIND(",",Stage!H307)),VALUE(Stage!H307),(VALUE(LEFT(Stage!H307,FIND(",",Stage!H307)-1))+VALUE(TRIM(MID(Stage!H307,FIND("|",SUBSTITUTE(Stage!H307,",","|",LEN(Stage!H307)-LEN(SUBSTITUTE(Stage!H307,",",""))))+1,100))))/2)</f>
        <v>2.5</v>
      </c>
      <c r="F282" s="117">
        <f>IF(ISERROR(FIND(",",Stage!I307)),VALUE(Stage!I307),(VALUE(LEFT(Stage!I307,FIND(",",Stage!I307)-1))+VALUE(TRIM(MID(Stage!I307,FIND("|",SUBSTITUTE(Stage!I307,",","|",LEN(Stage!I307)-LEN(SUBSTITUTE(Stage!I307,",",""))))+1,100))))/2)</f>
        <v>0.4</v>
      </c>
      <c r="G282" s="117">
        <f>IF(ISERROR(FIND(",",Stage!J307)),VALUE(Stage!J307),VALUE(LEFT(Stage!J307,FIND(",",Stage!J307)-1)))</f>
        <v>36</v>
      </c>
      <c r="H282" s="117">
        <f>IF(Stage!K307="",0,LEN(TRIM(Stage!K307))-LEN(SUBSTITUTE(TRIM(Stage!K307),",",""))+1)</f>
        <v>3</v>
      </c>
      <c r="I282" s="117">
        <f>Stage!O307+Stage!P307+Stage!N307+Stage!Q307+Stage!M307</f>
        <v>0</v>
      </c>
      <c r="J282" s="117">
        <f>IF(Stage!F307=0,0,I282/Stage!F307)</f>
        <v>0</v>
      </c>
      <c r="K282" s="118">
        <f t="shared" si="12"/>
        <v>36.19728463294485</v>
      </c>
      <c r="L282" s="118">
        <f t="shared" si="14"/>
        <v>40.14873574746332</v>
      </c>
      <c r="M282" s="117" t="str">
        <f t="shared" si="13"/>
        <v>보통</v>
      </c>
    </row>
    <row r="283" spans="1:13" ht="15.95" customHeight="1" x14ac:dyDescent="0.3">
      <c r="A283" s="119">
        <v>270</v>
      </c>
      <c r="B283" s="119" t="str">
        <f>Stage!C308</f>
        <v>N 270</v>
      </c>
      <c r="C283" s="119">
        <f>Stage!F308</f>
        <v>160</v>
      </c>
      <c r="D283" s="119">
        <f>IF(Stage!G308="",0,LEN(TRIM(Stage!G308))-LEN(SUBSTITUTE(TRIM(Stage!G308),",",""))+1)</f>
        <v>3</v>
      </c>
      <c r="E283" s="119">
        <f>IF(ISERROR(FIND(",",Stage!H308)),VALUE(Stage!H308),(VALUE(LEFT(Stage!H308,FIND(",",Stage!H308)-1))+VALUE(TRIM(MID(Stage!H308,FIND("|",SUBSTITUTE(Stage!H308,",","|",LEN(Stage!H308)-LEN(SUBSTITUTE(Stage!H308,",",""))))+1,100))))/2)</f>
        <v>2.5</v>
      </c>
      <c r="F283" s="119">
        <f>IF(ISERROR(FIND(",",Stage!I308)),VALUE(Stage!I308),(VALUE(LEFT(Stage!I308,FIND(",",Stage!I308)-1))+VALUE(TRIM(MID(Stage!I308,FIND("|",SUBSTITUTE(Stage!I308,",","|",LEN(Stage!I308)-LEN(SUBSTITUTE(Stage!I308,",",""))))+1,100))))/2)</f>
        <v>0.3</v>
      </c>
      <c r="G283" s="119">
        <f>IF(ISERROR(FIND(",",Stage!J308)),VALUE(Stage!J308),VALUE(LEFT(Stage!J308,FIND(",",Stage!J308)-1)))</f>
        <v>32</v>
      </c>
      <c r="H283" s="119">
        <f>IF(Stage!K308="",0,LEN(TRIM(Stage!K308))-LEN(SUBSTITUTE(TRIM(Stage!K308),",",""))+1)</f>
        <v>4</v>
      </c>
      <c r="I283" s="119">
        <f>Stage!O308+Stage!P308+Stage!N308+Stage!Q308+Stage!M308</f>
        <v>2</v>
      </c>
      <c r="J283" s="119">
        <f>IF(Stage!F308=0,0,I283/Stage!F308)</f>
        <v>1.2500000000000001E-2</v>
      </c>
      <c r="K283" s="120">
        <f t="shared" si="12"/>
        <v>41.230625976210497</v>
      </c>
      <c r="L283" s="120">
        <f t="shared" si="14"/>
        <v>38.524556604035148</v>
      </c>
      <c r="M283" s="119" t="str">
        <f t="shared" si="13"/>
        <v>보통</v>
      </c>
    </row>
    <row r="284" spans="1:13" ht="15.95" customHeight="1" x14ac:dyDescent="0.3">
      <c r="A284" s="117">
        <v>271</v>
      </c>
      <c r="B284" s="117" t="str">
        <f>Stage!C309</f>
        <v>N 271</v>
      </c>
      <c r="C284" s="117">
        <f>Stage!F309</f>
        <v>135</v>
      </c>
      <c r="D284" s="117">
        <f>IF(Stage!G309="",0,LEN(TRIM(Stage!G309))-LEN(SUBSTITUTE(TRIM(Stage!G309),",",""))+1)</f>
        <v>3</v>
      </c>
      <c r="E284" s="117">
        <f>IF(ISERROR(FIND(",",Stage!H309)),VALUE(Stage!H309),(VALUE(LEFT(Stage!H309,FIND(",",Stage!H309)-1))+VALUE(TRIM(MID(Stage!H309,FIND("|",SUBSTITUTE(Stage!H309,",","|",LEN(Stage!H309)-LEN(SUBSTITUTE(Stage!H309,",",""))))+1,100))))/2)</f>
        <v>2.5</v>
      </c>
      <c r="F284" s="117">
        <f>IF(ISERROR(FIND(",",Stage!I309)),VALUE(Stage!I309),(VALUE(LEFT(Stage!I309,FIND(",",Stage!I309)-1))+VALUE(TRIM(MID(Stage!I309,FIND("|",SUBSTITUTE(Stage!I309,",","|",LEN(Stage!I309)-LEN(SUBSTITUTE(Stage!I309,",",""))))+1,100))))/2)</f>
        <v>0.4</v>
      </c>
      <c r="G284" s="117">
        <f>IF(ISERROR(FIND(",",Stage!J309)),VALUE(Stage!J309),VALUE(LEFT(Stage!J309,FIND(",",Stage!J309)-1)))</f>
        <v>33</v>
      </c>
      <c r="H284" s="117">
        <f>IF(Stage!K309="",0,LEN(TRIM(Stage!K309))-LEN(SUBSTITUTE(TRIM(Stage!K309),",",""))+1)</f>
        <v>3</v>
      </c>
      <c r="I284" s="117">
        <f>Stage!O309+Stage!P309+Stage!N309+Stage!Q309+Stage!M309</f>
        <v>0</v>
      </c>
      <c r="J284" s="117">
        <f>IF(Stage!F309=0,0,I284/Stage!F309)</f>
        <v>0</v>
      </c>
      <c r="K284" s="118">
        <f t="shared" si="12"/>
        <v>35.356241739757294</v>
      </c>
      <c r="L284" s="118">
        <f t="shared" si="14"/>
        <v>38.669073651327643</v>
      </c>
      <c r="M284" s="117" t="str">
        <f t="shared" si="13"/>
        <v>보통</v>
      </c>
    </row>
    <row r="285" spans="1:13" ht="15.95" customHeight="1" x14ac:dyDescent="0.3">
      <c r="A285" s="119">
        <v>272</v>
      </c>
      <c r="B285" s="119" t="str">
        <f>Stage!C310</f>
        <v>N 272</v>
      </c>
      <c r="C285" s="119">
        <f>Stage!F310</f>
        <v>125</v>
      </c>
      <c r="D285" s="119">
        <f>IF(Stage!G310="",0,LEN(TRIM(Stage!G310))-LEN(SUBSTITUTE(TRIM(Stage!G310),",",""))+1)</f>
        <v>3</v>
      </c>
      <c r="E285" s="119">
        <f>IF(ISERROR(FIND(",",Stage!H310)),VALUE(Stage!H310),(VALUE(LEFT(Stage!H310,FIND(",",Stage!H310)-1))+VALUE(TRIM(MID(Stage!H310,FIND("|",SUBSTITUTE(Stage!H310,",","|",LEN(Stage!H310)-LEN(SUBSTITUTE(Stage!H310,",",""))))+1,100))))/2)</f>
        <v>2</v>
      </c>
      <c r="F285" s="119">
        <f>IF(ISERROR(FIND(",",Stage!I310)),VALUE(Stage!I310),(VALUE(LEFT(Stage!I310,FIND(",",Stage!I310)-1))+VALUE(TRIM(MID(Stage!I310,FIND("|",SUBSTITUTE(Stage!I310,",","|",LEN(Stage!I310)-LEN(SUBSTITUTE(Stage!I310,",",""))))+1,100))))/2)</f>
        <v>0.5</v>
      </c>
      <c r="G285" s="119">
        <f>IF(ISERROR(FIND(",",Stage!J310)),VALUE(Stage!J310),VALUE(LEFT(Stage!J310,FIND(",",Stage!J310)-1)))</f>
        <v>31</v>
      </c>
      <c r="H285" s="119">
        <f>IF(Stage!K310="",0,LEN(TRIM(Stage!K310))-LEN(SUBSTITUTE(TRIM(Stage!K310),",",""))+1)</f>
        <v>3</v>
      </c>
      <c r="I285" s="119">
        <f>Stage!O310+Stage!P310+Stage!N310+Stage!Q310+Stage!M310</f>
        <v>0</v>
      </c>
      <c r="J285" s="119">
        <f>IF(Stage!F310=0,0,I285/Stage!F310)</f>
        <v>0</v>
      </c>
      <c r="K285" s="120">
        <f t="shared" si="12"/>
        <v>31.088950298369983</v>
      </c>
      <c r="L285" s="120">
        <f t="shared" si="14"/>
        <v>38.798706395930949</v>
      </c>
      <c r="M285" s="119" t="str">
        <f t="shared" si="13"/>
        <v>보통</v>
      </c>
    </row>
    <row r="286" spans="1:13" ht="15.95" customHeight="1" x14ac:dyDescent="0.3">
      <c r="A286" s="117">
        <v>273</v>
      </c>
      <c r="B286" s="117" t="str">
        <f>Stage!C311</f>
        <v>N 273</v>
      </c>
      <c r="C286" s="117">
        <f>Stage!F311</f>
        <v>200</v>
      </c>
      <c r="D286" s="117">
        <f>IF(Stage!G311="",0,LEN(TRIM(Stage!G311))-LEN(SUBSTITUTE(TRIM(Stage!G311),",",""))+1)</f>
        <v>3</v>
      </c>
      <c r="E286" s="117">
        <f>IF(ISERROR(FIND(",",Stage!H311)),VALUE(Stage!H311),(VALUE(LEFT(Stage!H311,FIND(",",Stage!H311)-1))+VALUE(TRIM(MID(Stage!H311,FIND("|",SUBSTITUTE(Stage!H311,",","|",LEN(Stage!H311)-LEN(SUBSTITUTE(Stage!H311,",",""))))+1,100))))/2)</f>
        <v>3</v>
      </c>
      <c r="F286" s="117">
        <f>IF(ISERROR(FIND(",",Stage!I311)),VALUE(Stage!I311),(VALUE(LEFT(Stage!I311,FIND(",",Stage!I311)-1))+VALUE(TRIM(MID(Stage!I311,FIND("|",SUBSTITUTE(Stage!I311,",","|",LEN(Stage!I311)-LEN(SUBSTITUTE(Stage!I311,",",""))))+1,100))))/2)</f>
        <v>0.2</v>
      </c>
      <c r="G286" s="117">
        <f>IF(ISERROR(FIND(",",Stage!J311)),VALUE(Stage!J311),VALUE(LEFT(Stage!J311,FIND(",",Stage!J311)-1)))</f>
        <v>40</v>
      </c>
      <c r="H286" s="117">
        <f>IF(Stage!K311="",0,LEN(TRIM(Stage!K311))-LEN(SUBSTITUTE(TRIM(Stage!K311),",",""))+1)</f>
        <v>4</v>
      </c>
      <c r="I286" s="117">
        <f>Stage!O311+Stage!P311+Stage!N311+Stage!Q311+Stage!M311</f>
        <v>11</v>
      </c>
      <c r="J286" s="117">
        <f>IF(Stage!F311=0,0,I286/Stage!F311)</f>
        <v>5.5E-2</v>
      </c>
      <c r="K286" s="118">
        <f t="shared" si="12"/>
        <v>49.472265609355603</v>
      </c>
      <c r="L286" s="118">
        <f t="shared" si="14"/>
        <v>39.448741851660763</v>
      </c>
      <c r="M286" s="117" t="str">
        <f t="shared" si="13"/>
        <v>어려움</v>
      </c>
    </row>
    <row r="287" spans="1:13" ht="15.95" customHeight="1" x14ac:dyDescent="0.3">
      <c r="A287" s="119">
        <v>274</v>
      </c>
      <c r="B287" s="119" t="str">
        <f>Stage!C312</f>
        <v>N 274</v>
      </c>
      <c r="C287" s="119">
        <f>Stage!F312</f>
        <v>150</v>
      </c>
      <c r="D287" s="119">
        <f>IF(Stage!G312="",0,LEN(TRIM(Stage!G312))-LEN(SUBSTITUTE(TRIM(Stage!G312),",",""))+1)</f>
        <v>3</v>
      </c>
      <c r="E287" s="119">
        <f>IF(ISERROR(FIND(",",Stage!H312)),VALUE(Stage!H312),(VALUE(LEFT(Stage!H312,FIND(",",Stage!H312)-1))+VALUE(TRIM(MID(Stage!H312,FIND("|",SUBSTITUTE(Stage!H312,",","|",LEN(Stage!H312)-LEN(SUBSTITUTE(Stage!H312,",",""))))+1,100))))/2)</f>
        <v>2.5</v>
      </c>
      <c r="F287" s="119">
        <f>IF(ISERROR(FIND(",",Stage!I312)),VALUE(Stage!I312),(VALUE(LEFT(Stage!I312,FIND(",",Stage!I312)-1))+VALUE(TRIM(MID(Stage!I312,FIND("|",SUBSTITUTE(Stage!I312,",","|",LEN(Stage!I312)-LEN(SUBSTITUTE(Stage!I312,",",""))))+1,100))))/2)</f>
        <v>0.4</v>
      </c>
      <c r="G287" s="119">
        <f>IF(ISERROR(FIND(",",Stage!J312)),VALUE(Stage!J312),VALUE(LEFT(Stage!J312,FIND(",",Stage!J312)-1)))</f>
        <v>37</v>
      </c>
      <c r="H287" s="119">
        <f>IF(Stage!K312="",0,LEN(TRIM(Stage!K312))-LEN(SUBSTITUTE(TRIM(Stage!K312),",",""))+1)</f>
        <v>3</v>
      </c>
      <c r="I287" s="119">
        <f>Stage!O312+Stage!P312+Stage!N312+Stage!Q312+Stage!M312</f>
        <v>1</v>
      </c>
      <c r="J287" s="119">
        <f>IF(Stage!F312=0,0,I287/Stage!F312)</f>
        <v>6.6666666666666671E-3</v>
      </c>
      <c r="K287" s="120">
        <f t="shared" si="12"/>
        <v>36.845448355961388</v>
      </c>
      <c r="L287" s="120">
        <f t="shared" si="14"/>
        <v>40.21946270681147</v>
      </c>
      <c r="M287" s="119" t="str">
        <f t="shared" si="13"/>
        <v>보통</v>
      </c>
    </row>
    <row r="288" spans="1:13" ht="15.95" customHeight="1" x14ac:dyDescent="0.3">
      <c r="A288" s="117">
        <v>275</v>
      </c>
      <c r="B288" s="117" t="str">
        <f>Stage!C313</f>
        <v>N 275</v>
      </c>
      <c r="C288" s="117">
        <f>Stage!F313</f>
        <v>170</v>
      </c>
      <c r="D288" s="117">
        <f>IF(Stage!G313="",0,LEN(TRIM(Stage!G313))-LEN(SUBSTITUTE(TRIM(Stage!G313),",",""))+1)</f>
        <v>3</v>
      </c>
      <c r="E288" s="117">
        <f>IF(ISERROR(FIND(",",Stage!H313)),VALUE(Stage!H313),(VALUE(LEFT(Stage!H313,FIND(",",Stage!H313)-1))+VALUE(TRIM(MID(Stage!H313,FIND("|",SUBSTITUTE(Stage!H313,",","|",LEN(Stage!H313)-LEN(SUBSTITUTE(Stage!H313,",",""))))+1,100))))/2)</f>
        <v>3</v>
      </c>
      <c r="F288" s="117">
        <f>IF(ISERROR(FIND(",",Stage!I313)),VALUE(Stage!I313),(VALUE(LEFT(Stage!I313,FIND(",",Stage!I313)-1))+VALUE(TRIM(MID(Stage!I313,FIND("|",SUBSTITUTE(Stage!I313,",","|",LEN(Stage!I313)-LEN(SUBSTITUTE(Stage!I313,",",""))))+1,100))))/2)</f>
        <v>0.3</v>
      </c>
      <c r="G288" s="117">
        <f>IF(ISERROR(FIND(",",Stage!J313)),VALUE(Stage!J313),VALUE(LEFT(Stage!J313,FIND(",",Stage!J313)-1)))</f>
        <v>34</v>
      </c>
      <c r="H288" s="117">
        <f>IF(Stage!K313="",0,LEN(TRIM(Stage!K313))-LEN(SUBSTITUTE(TRIM(Stage!K313),",",""))+1)</f>
        <v>4</v>
      </c>
      <c r="I288" s="117">
        <f>Stage!O313+Stage!P313+Stage!N313+Stage!Q313+Stage!M313</f>
        <v>4</v>
      </c>
      <c r="J288" s="117">
        <f>IF(Stage!F313=0,0,I288/Stage!F313)</f>
        <v>2.3529411764705882E-2</v>
      </c>
      <c r="K288" s="118">
        <f t="shared" si="12"/>
        <v>44.480803254859552</v>
      </c>
      <c r="L288" s="118">
        <f t="shared" si="14"/>
        <v>42.777208857492859</v>
      </c>
      <c r="M288" s="117" t="str">
        <f t="shared" si="13"/>
        <v>보통</v>
      </c>
    </row>
    <row r="289" spans="1:13" ht="15.95" customHeight="1" x14ac:dyDescent="0.3">
      <c r="A289" s="119">
        <v>276</v>
      </c>
      <c r="B289" s="119" t="str">
        <f>Stage!C314</f>
        <v>N 276</v>
      </c>
      <c r="C289" s="119">
        <f>Stage!F314</f>
        <v>155</v>
      </c>
      <c r="D289" s="119">
        <f>IF(Stage!G314="",0,LEN(TRIM(Stage!G314))-LEN(SUBSTITUTE(TRIM(Stage!G314),",",""))+1)</f>
        <v>3</v>
      </c>
      <c r="E289" s="119">
        <f>IF(ISERROR(FIND(",",Stage!H314)),VALUE(Stage!H314),(VALUE(LEFT(Stage!H314,FIND(",",Stage!H314)-1))+VALUE(TRIM(MID(Stage!H314,FIND("|",SUBSTITUTE(Stage!H314,",","|",LEN(Stage!H314)-LEN(SUBSTITUTE(Stage!H314,",",""))))+1,100))))/2)</f>
        <v>2.5</v>
      </c>
      <c r="F289" s="119">
        <f>IF(ISERROR(FIND(",",Stage!I314)),VALUE(Stage!I314),(VALUE(LEFT(Stage!I314,FIND(",",Stage!I314)-1))+VALUE(TRIM(MID(Stage!I314,FIND("|",SUBSTITUTE(Stage!I314,",","|",LEN(Stage!I314)-LEN(SUBSTITUTE(Stage!I314,",",""))))+1,100))))/2)</f>
        <v>0.4</v>
      </c>
      <c r="G289" s="119">
        <f>IF(ISERROR(FIND(",",Stage!J314)),VALUE(Stage!J314),VALUE(LEFT(Stage!J314,FIND(",",Stage!J314)-1)))</f>
        <v>31</v>
      </c>
      <c r="H289" s="119">
        <f>IF(Stage!K314="",0,LEN(TRIM(Stage!K314))-LEN(SUBSTITUTE(TRIM(Stage!K314),",",""))+1)</f>
        <v>4</v>
      </c>
      <c r="I289" s="119">
        <f>Stage!O314+Stage!P314+Stage!N314+Stage!Q314+Stage!M314</f>
        <v>1</v>
      </c>
      <c r="J289" s="119">
        <f>IF(Stage!F314=0,0,I289/Stage!F314)</f>
        <v>6.4516129032258064E-3</v>
      </c>
      <c r="K289" s="120">
        <f t="shared" si="12"/>
        <v>39.209846015510841</v>
      </c>
      <c r="L289" s="120">
        <f t="shared" si="14"/>
        <v>40.724724938723909</v>
      </c>
      <c r="M289" s="119" t="str">
        <f t="shared" si="13"/>
        <v>보통</v>
      </c>
    </row>
    <row r="290" spans="1:13" ht="15.95" customHeight="1" x14ac:dyDescent="0.3">
      <c r="A290" s="117">
        <v>277</v>
      </c>
      <c r="B290" s="117" t="str">
        <f>Stage!C315</f>
        <v>N 277</v>
      </c>
      <c r="C290" s="117">
        <f>Stage!F315</f>
        <v>165</v>
      </c>
      <c r="D290" s="117">
        <f>IF(Stage!G315="",0,LEN(TRIM(Stage!G315))-LEN(SUBSTITUTE(TRIM(Stage!G315),",",""))+1)</f>
        <v>3</v>
      </c>
      <c r="E290" s="117">
        <f>IF(ISERROR(FIND(",",Stage!H315)),VALUE(Stage!H315),(VALUE(LEFT(Stage!H315,FIND(",",Stage!H315)-1))+VALUE(TRIM(MID(Stage!H315,FIND("|",SUBSTITUTE(Stage!H315,",","|",LEN(Stage!H315)-LEN(SUBSTITUTE(Stage!H315,",",""))))+1,100))))/2)</f>
        <v>3</v>
      </c>
      <c r="F290" s="117">
        <f>IF(ISERROR(FIND(",",Stage!I315)),VALUE(Stage!I315),(VALUE(LEFT(Stage!I315,FIND(",",Stage!I315)-1))+VALUE(TRIM(MID(Stage!I315,FIND("|",SUBSTITUTE(Stage!I315,",","|",LEN(Stage!I315)-LEN(SUBSTITUTE(Stage!I315,",",""))))+1,100))))/2)</f>
        <v>0.3</v>
      </c>
      <c r="G290" s="117">
        <f>IF(ISERROR(FIND(",",Stage!J315)),VALUE(Stage!J315),VALUE(LEFT(Stage!J315,FIND(",",Stage!J315)-1)))</f>
        <v>33</v>
      </c>
      <c r="H290" s="117">
        <f>IF(Stage!K315="",0,LEN(TRIM(Stage!K315))-LEN(SUBSTITUTE(TRIM(Stage!K315),",",""))+1)</f>
        <v>4</v>
      </c>
      <c r="I290" s="117">
        <f>Stage!O315+Stage!P315+Stage!N315+Stage!Q315+Stage!M315</f>
        <v>3</v>
      </c>
      <c r="J290" s="117">
        <f>IF(Stage!F315=0,0,I290/Stage!F315)</f>
        <v>1.8181818181818181E-2</v>
      </c>
      <c r="K290" s="118">
        <f t="shared" si="12"/>
        <v>43.877681051776932</v>
      </c>
      <c r="L290" s="118">
        <f t="shared" si="14"/>
        <v>42.486958107853624</v>
      </c>
      <c r="M290" s="117" t="str">
        <f t="shared" si="13"/>
        <v>보통</v>
      </c>
    </row>
    <row r="291" spans="1:13" ht="15.95" customHeight="1" x14ac:dyDescent="0.3">
      <c r="A291" s="119">
        <v>278</v>
      </c>
      <c r="B291" s="119" t="str">
        <f>Stage!C316</f>
        <v>N 278</v>
      </c>
      <c r="C291" s="119">
        <f>Stage!F316</f>
        <v>155</v>
      </c>
      <c r="D291" s="119">
        <f>IF(Stage!G316="",0,LEN(TRIM(Stage!G316))-LEN(SUBSTITUTE(TRIM(Stage!G316),",",""))+1)</f>
        <v>3</v>
      </c>
      <c r="E291" s="119">
        <f>IF(ISERROR(FIND(",",Stage!H316)),VALUE(Stage!H316),(VALUE(LEFT(Stage!H316,FIND(",",Stage!H316)-1))+VALUE(TRIM(MID(Stage!H316,FIND("|",SUBSTITUTE(Stage!H316,",","|",LEN(Stage!H316)-LEN(SUBSTITUTE(Stage!H316,",",""))))+1,100))))/2)</f>
        <v>2.5</v>
      </c>
      <c r="F291" s="119">
        <f>IF(ISERROR(FIND(",",Stage!I316)),VALUE(Stage!I316),(VALUE(LEFT(Stage!I316,FIND(",",Stage!I316)-1))+VALUE(TRIM(MID(Stage!I316,FIND("|",SUBSTITUTE(Stage!I316,",","|",LEN(Stage!I316)-LEN(SUBSTITUTE(Stage!I316,",",""))))+1,100))))/2)</f>
        <v>0.4</v>
      </c>
      <c r="G291" s="119">
        <f>IF(ISERROR(FIND(",",Stage!J316)),VALUE(Stage!J316),VALUE(LEFT(Stage!J316,FIND(",",Stage!J316)-1)))</f>
        <v>31</v>
      </c>
      <c r="H291" s="119">
        <f>IF(Stage!K316="",0,LEN(TRIM(Stage!K316))-LEN(SUBSTITUTE(TRIM(Stage!K316),",",""))+1)</f>
        <v>4</v>
      </c>
      <c r="I291" s="119">
        <f>Stage!O316+Stage!P316+Stage!N316+Stage!Q316+Stage!M316</f>
        <v>1</v>
      </c>
      <c r="J291" s="119">
        <f>IF(Stage!F316=0,0,I291/Stage!F316)</f>
        <v>6.4516129032258064E-3</v>
      </c>
      <c r="K291" s="120">
        <f t="shared" si="12"/>
        <v>39.209846015510841</v>
      </c>
      <c r="L291" s="120">
        <f t="shared" si="14"/>
        <v>42.486958107853624</v>
      </c>
      <c r="M291" s="119" t="str">
        <f t="shared" si="13"/>
        <v>보통</v>
      </c>
    </row>
    <row r="292" spans="1:13" ht="15.95" customHeight="1" x14ac:dyDescent="0.3">
      <c r="A292" s="117">
        <v>279</v>
      </c>
      <c r="B292" s="117" t="str">
        <f>Stage!C317</f>
        <v>N 279</v>
      </c>
      <c r="C292" s="117">
        <f>Stage!F317</f>
        <v>180</v>
      </c>
      <c r="D292" s="117">
        <f>IF(Stage!G317="",0,LEN(TRIM(Stage!G317))-LEN(SUBSTITUTE(TRIM(Stage!G317),",",""))+1)</f>
        <v>3</v>
      </c>
      <c r="E292" s="117">
        <f>IF(ISERROR(FIND(",",Stage!H317)),VALUE(Stage!H317),(VALUE(LEFT(Stage!H317,FIND(",",Stage!H317)-1))+VALUE(TRIM(MID(Stage!H317,FIND("|",SUBSTITUTE(Stage!H317,",","|",LEN(Stage!H317)-LEN(SUBSTITUTE(Stage!H317,",",""))))+1,100))))/2)</f>
        <v>3</v>
      </c>
      <c r="F292" s="117">
        <f>IF(ISERROR(FIND(",",Stage!I317)),VALUE(Stage!I317),(VALUE(LEFT(Stage!I317,FIND(",",Stage!I317)-1))+VALUE(TRIM(MID(Stage!I317,FIND("|",SUBSTITUTE(Stage!I317,",","|",LEN(Stage!I317)-LEN(SUBSTITUTE(Stage!I317,",",""))))+1,100))))/2)</f>
        <v>0.3</v>
      </c>
      <c r="G292" s="117">
        <f>IF(ISERROR(FIND(",",Stage!J317)),VALUE(Stage!J317),VALUE(LEFT(Stage!J317,FIND(",",Stage!J317)-1)))</f>
        <v>36</v>
      </c>
      <c r="H292" s="117">
        <f>IF(Stage!K317="",0,LEN(TRIM(Stage!K317))-LEN(SUBSTITUTE(TRIM(Stage!K317),",",""))+1)</f>
        <v>4</v>
      </c>
      <c r="I292" s="117">
        <f>Stage!O317+Stage!P317+Stage!N317+Stage!Q317+Stage!M317</f>
        <v>6</v>
      </c>
      <c r="J292" s="117">
        <f>IF(Stage!F317=0,0,I292/Stage!F317)</f>
        <v>3.3333333333333333E-2</v>
      </c>
      <c r="K292" s="118">
        <f t="shared" si="12"/>
        <v>45.65661420160999</v>
      </c>
      <c r="L292" s="118">
        <f t="shared" si="14"/>
        <v>40.877797587518089</v>
      </c>
      <c r="M292" s="117" t="str">
        <f t="shared" si="13"/>
        <v>어려움</v>
      </c>
    </row>
    <row r="293" spans="1:13" ht="15.95" customHeight="1" x14ac:dyDescent="0.3">
      <c r="A293" s="119">
        <v>280</v>
      </c>
      <c r="B293" s="119" t="str">
        <f>Stage!C318</f>
        <v>N 280</v>
      </c>
      <c r="C293" s="119">
        <f>Stage!F318</f>
        <v>170</v>
      </c>
      <c r="D293" s="119">
        <f>IF(Stage!G318="",0,LEN(TRIM(Stage!G318))-LEN(SUBSTITUTE(TRIM(Stage!G318),",",""))+1)</f>
        <v>3</v>
      </c>
      <c r="E293" s="119">
        <f>IF(ISERROR(FIND(",",Stage!H318)),VALUE(Stage!H318),(VALUE(LEFT(Stage!H318,FIND(",",Stage!H318)-1))+VALUE(TRIM(MID(Stage!H318,FIND("|",SUBSTITUTE(Stage!H318,",","|",LEN(Stage!H318)-LEN(SUBSTITUTE(Stage!H318,",",""))))+1,100))))/2)</f>
        <v>3</v>
      </c>
      <c r="F293" s="119">
        <f>IF(ISERROR(FIND(",",Stage!I318)),VALUE(Stage!I318),(VALUE(LEFT(Stage!I318,FIND(",",Stage!I318)-1))+VALUE(TRIM(MID(Stage!I318,FIND("|",SUBSTITUTE(Stage!I318,",","|",LEN(Stage!I318)-LEN(SUBSTITUTE(Stage!I318,",",""))))+1,100))))/2)</f>
        <v>0.3</v>
      </c>
      <c r="G293" s="119">
        <f>IF(ISERROR(FIND(",",Stage!J318)),VALUE(Stage!J318),VALUE(LEFT(Stage!J318,FIND(",",Stage!J318)-1)))</f>
        <v>34</v>
      </c>
      <c r="H293" s="119">
        <f>IF(Stage!K318="",0,LEN(TRIM(Stage!K318))-LEN(SUBSTITUTE(TRIM(Stage!K318),",",""))+1)</f>
        <v>4</v>
      </c>
      <c r="I293" s="119">
        <f>Stage!O318+Stage!P318+Stage!N318+Stage!Q318+Stage!M318</f>
        <v>4</v>
      </c>
      <c r="J293" s="119">
        <f>IF(Stage!F318=0,0,I293/Stage!F318)</f>
        <v>2.3529411764705882E-2</v>
      </c>
      <c r="K293" s="120">
        <f t="shared" si="12"/>
        <v>44.480803254859552</v>
      </c>
      <c r="L293" s="120">
        <f t="shared" si="14"/>
        <v>38.32906261069229</v>
      </c>
      <c r="M293" s="119" t="str">
        <f t="shared" si="13"/>
        <v>보통</v>
      </c>
    </row>
    <row r="294" spans="1:13" ht="15.95" customHeight="1" x14ac:dyDescent="0.3">
      <c r="A294" s="117">
        <v>281</v>
      </c>
      <c r="B294" s="117" t="str">
        <f>Stage!C319</f>
        <v>N 281</v>
      </c>
      <c r="C294" s="117">
        <f>Stage!F319</f>
        <v>100</v>
      </c>
      <c r="D294" s="117">
        <f>IF(Stage!G319="",0,LEN(TRIM(Stage!G319))-LEN(SUBSTITUTE(TRIM(Stage!G319),",",""))+1)</f>
        <v>3</v>
      </c>
      <c r="E294" s="117">
        <f>IF(ISERROR(FIND(",",Stage!H319)),VALUE(Stage!H319),(VALUE(LEFT(Stage!H319,FIND(",",Stage!H319)-1))+VALUE(TRIM(MID(Stage!H319,FIND("|",SUBSTITUTE(Stage!H319,",","|",LEN(Stage!H319)-LEN(SUBSTITUTE(Stage!H319,",",""))))+1,100))))/2)</f>
        <v>2</v>
      </c>
      <c r="F294" s="117">
        <f>IF(ISERROR(FIND(",",Stage!I319)),VALUE(Stage!I319),(VALUE(LEFT(Stage!I319,FIND(",",Stage!I319)-1))+VALUE(TRIM(MID(Stage!I319,FIND("|",SUBSTITUTE(Stage!I319,",","|",LEN(Stage!I319)-LEN(SUBSTITUTE(Stage!I319,",",""))))+1,100))))/2)</f>
        <v>0.5</v>
      </c>
      <c r="G294" s="117">
        <f>IF(ISERROR(FIND(",",Stage!J319)),VALUE(Stage!J319),VALUE(LEFT(Stage!J319,FIND(",",Stage!J319)-1)))</f>
        <v>25</v>
      </c>
      <c r="H294" s="117">
        <f>IF(Stage!K319="",0,LEN(TRIM(Stage!K319))-LEN(SUBSTITUTE(TRIM(Stage!K319),",",""))+1)</f>
        <v>3</v>
      </c>
      <c r="I294" s="117">
        <f>Stage!O319+Stage!P319+Stage!N319+Stage!Q319+Stage!M319</f>
        <v>0</v>
      </c>
      <c r="J294" s="117">
        <f>IF(Stage!F319=0,0,I294/Stage!F319)</f>
        <v>0</v>
      </c>
      <c r="K294" s="118">
        <f t="shared" si="12"/>
        <v>31.164043413833152</v>
      </c>
      <c r="L294" s="118">
        <f t="shared" si="14"/>
        <v>37.474237466222817</v>
      </c>
      <c r="M294" s="117" t="str">
        <f t="shared" si="13"/>
        <v>보통</v>
      </c>
    </row>
    <row r="295" spans="1:13" ht="15.95" customHeight="1" x14ac:dyDescent="0.3">
      <c r="A295" s="119">
        <v>282</v>
      </c>
      <c r="B295" s="119" t="str">
        <f>Stage!C320</f>
        <v>N 282</v>
      </c>
      <c r="C295" s="119">
        <f>Stage!F320</f>
        <v>110</v>
      </c>
      <c r="D295" s="119">
        <f>IF(Stage!G320="",0,LEN(TRIM(Stage!G320))-LEN(SUBSTITUTE(TRIM(Stage!G320),",",""))+1)</f>
        <v>3</v>
      </c>
      <c r="E295" s="119">
        <f>IF(ISERROR(FIND(",",Stage!H320)),VALUE(Stage!H320),(VALUE(LEFT(Stage!H320,FIND(",",Stage!H320)-1))+VALUE(TRIM(MID(Stage!H320,FIND("|",SUBSTITUTE(Stage!H320,",","|",LEN(Stage!H320)-LEN(SUBSTITUTE(Stage!H320,",",""))))+1,100))))/2)</f>
        <v>2</v>
      </c>
      <c r="F295" s="119">
        <f>IF(ISERROR(FIND(",",Stage!I320)),VALUE(Stage!I320),(VALUE(LEFT(Stage!I320,FIND(",",Stage!I320)-1))+VALUE(TRIM(MID(Stage!I320,FIND("|",SUBSTITUTE(Stage!I320,",","|",LEN(Stage!I320)-LEN(SUBSTITUTE(Stage!I320,",",""))))+1,100))))/2)</f>
        <v>0.5</v>
      </c>
      <c r="G295" s="119">
        <f>IF(ISERROR(FIND(",",Stage!J320)),VALUE(Stage!J320),VALUE(LEFT(Stage!J320,FIND(",",Stage!J320)-1)))</f>
        <v>27</v>
      </c>
      <c r="H295" s="119">
        <f>IF(Stage!K320="",0,LEN(TRIM(Stage!K320))-LEN(SUBSTITUTE(TRIM(Stage!K320),",",""))+1)</f>
        <v>3</v>
      </c>
      <c r="I295" s="119">
        <f>Stage!O320+Stage!P320+Stage!N320+Stage!Q320+Stage!M320</f>
        <v>0</v>
      </c>
      <c r="J295" s="119">
        <f>IF(Stage!F320=0,0,I295/Stage!F320)</f>
        <v>0</v>
      </c>
      <c r="K295" s="120">
        <f t="shared" si="12"/>
        <v>31.134006167647883</v>
      </c>
      <c r="L295" s="120">
        <f t="shared" si="14"/>
        <v>34.476600396256067</v>
      </c>
      <c r="M295" s="119" t="str">
        <f t="shared" si="13"/>
        <v>보통</v>
      </c>
    </row>
    <row r="296" spans="1:13" ht="15.95" customHeight="1" x14ac:dyDescent="0.3">
      <c r="A296" s="117">
        <v>283</v>
      </c>
      <c r="B296" s="117" t="str">
        <f>Stage!C321</f>
        <v>N 283</v>
      </c>
      <c r="C296" s="117">
        <f>Stage!F321</f>
        <v>130</v>
      </c>
      <c r="D296" s="117">
        <f>IF(Stage!G321="",0,LEN(TRIM(Stage!G321))-LEN(SUBSTITUTE(TRIM(Stage!G321),",",""))+1)</f>
        <v>3</v>
      </c>
      <c r="E296" s="117">
        <f>IF(ISERROR(FIND(",",Stage!H321)),VALUE(Stage!H321),(VALUE(LEFT(Stage!H321,FIND(",",Stage!H321)-1))+VALUE(TRIM(MID(Stage!H321,FIND("|",SUBSTITUTE(Stage!H321,",","|",LEN(Stage!H321)-LEN(SUBSTITUTE(Stage!H321,",",""))))+1,100))))/2)</f>
        <v>2.5</v>
      </c>
      <c r="F296" s="117">
        <f>IF(ISERROR(FIND(",",Stage!I321)),VALUE(Stage!I321),(VALUE(LEFT(Stage!I321,FIND(",",Stage!I321)-1))+VALUE(TRIM(MID(Stage!I321,FIND("|",SUBSTITUTE(Stage!I321,",","|",LEN(Stage!I321)-LEN(SUBSTITUTE(Stage!I321,",",""))))+1,100))))/2)</f>
        <v>0.4</v>
      </c>
      <c r="G296" s="117">
        <f>IF(ISERROR(FIND(",",Stage!J321)),VALUE(Stage!J321),VALUE(LEFT(Stage!J321,FIND(",",Stage!J321)-1)))</f>
        <v>32</v>
      </c>
      <c r="H296" s="117">
        <f>IF(Stage!K321="",0,LEN(TRIM(Stage!K321))-LEN(SUBSTITUTE(TRIM(Stage!K321),",",""))+1)</f>
        <v>3</v>
      </c>
      <c r="I296" s="117">
        <f>Stage!O321+Stage!P321+Stage!N321+Stage!Q321+Stage!M321</f>
        <v>0</v>
      </c>
      <c r="J296" s="117">
        <f>IF(Stage!F321=0,0,I296/Stage!F321)</f>
        <v>0</v>
      </c>
      <c r="K296" s="118">
        <f t="shared" si="12"/>
        <v>34.93572029316352</v>
      </c>
      <c r="L296" s="118">
        <f t="shared" si="14"/>
        <v>34.476600396256067</v>
      </c>
      <c r="M296" s="117" t="str">
        <f t="shared" si="13"/>
        <v>보통</v>
      </c>
    </row>
    <row r="297" spans="1:13" ht="15.95" customHeight="1" x14ac:dyDescent="0.3">
      <c r="A297" s="119">
        <v>284</v>
      </c>
      <c r="B297" s="119" t="str">
        <f>Stage!C322</f>
        <v>N 284</v>
      </c>
      <c r="C297" s="119">
        <f>Stage!F322</f>
        <v>120</v>
      </c>
      <c r="D297" s="119">
        <f>IF(Stage!G322="",0,LEN(TRIM(Stage!G322))-LEN(SUBSTITUTE(TRIM(Stage!G322),",",""))+1)</f>
        <v>3</v>
      </c>
      <c r="E297" s="119">
        <f>IF(ISERROR(FIND(",",Stage!H322)),VALUE(Stage!H322),(VALUE(LEFT(Stage!H322,FIND(",",Stage!H322)-1))+VALUE(TRIM(MID(Stage!H322,FIND("|",SUBSTITUTE(Stage!H322,",","|",LEN(Stage!H322)-LEN(SUBSTITUTE(Stage!H322,",",""))))+1,100))))/2)</f>
        <v>2</v>
      </c>
      <c r="F297" s="119">
        <f>IF(ISERROR(FIND(",",Stage!I322)),VALUE(Stage!I322),(VALUE(LEFT(Stage!I322,FIND(",",Stage!I322)-1))+VALUE(TRIM(MID(Stage!I322,FIND("|",SUBSTITUTE(Stage!I322,",","|",LEN(Stage!I322)-LEN(SUBSTITUTE(Stage!I322,",",""))))+1,100))))/2)</f>
        <v>0.5</v>
      </c>
      <c r="G297" s="119">
        <f>IF(ISERROR(FIND(",",Stage!J322)),VALUE(Stage!J322),VALUE(LEFT(Stage!J322,FIND(",",Stage!J322)-1)))</f>
        <v>30</v>
      </c>
      <c r="H297" s="119">
        <f>IF(Stage!K322="",0,LEN(TRIM(Stage!K322))-LEN(SUBSTITUTE(TRIM(Stage!K322),",",""))+1)</f>
        <v>3</v>
      </c>
      <c r="I297" s="119">
        <f>Stage!O322+Stage!P322+Stage!N322+Stage!Q322+Stage!M322</f>
        <v>0</v>
      </c>
      <c r="J297" s="119">
        <f>IF(Stage!F322=0,0,I297/Stage!F322)</f>
        <v>0</v>
      </c>
      <c r="K297" s="120">
        <f t="shared" si="12"/>
        <v>30.668428851776209</v>
      </c>
      <c r="L297" s="120">
        <f t="shared" si="14"/>
        <v>37.768726957516357</v>
      </c>
      <c r="M297" s="119" t="str">
        <f t="shared" si="13"/>
        <v>보통</v>
      </c>
    </row>
    <row r="298" spans="1:13" ht="15.95" customHeight="1" x14ac:dyDescent="0.3">
      <c r="A298" s="117">
        <v>285</v>
      </c>
      <c r="B298" s="117" t="str">
        <f>Stage!C323</f>
        <v>N 285</v>
      </c>
      <c r="C298" s="117">
        <f>Stage!F323</f>
        <v>170</v>
      </c>
      <c r="D298" s="117">
        <f>IF(Stage!G323="",0,LEN(TRIM(Stage!G323))-LEN(SUBSTITUTE(TRIM(Stage!G323),",",""))+1)</f>
        <v>3</v>
      </c>
      <c r="E298" s="117">
        <f>IF(ISERROR(FIND(",",Stage!H323)),VALUE(Stage!H323),(VALUE(LEFT(Stage!H323,FIND(",",Stage!H323)-1))+VALUE(TRIM(MID(Stage!H323,FIND("|",SUBSTITUTE(Stage!H323,",","|",LEN(Stage!H323)-LEN(SUBSTITUTE(Stage!H323,",",""))))+1,100))))/2)</f>
        <v>3</v>
      </c>
      <c r="F298" s="117">
        <f>IF(ISERROR(FIND(",",Stage!I323)),VALUE(Stage!I323),(VALUE(LEFT(Stage!I323,FIND(",",Stage!I323)-1))+VALUE(TRIM(MID(Stage!I323,FIND("|",SUBSTITUTE(Stage!I323,",","|",LEN(Stage!I323)-LEN(SUBSTITUTE(Stage!I323,",",""))))+1,100))))/2)</f>
        <v>0.3</v>
      </c>
      <c r="G298" s="117">
        <f>IF(ISERROR(FIND(",",Stage!J323)),VALUE(Stage!J323),VALUE(LEFT(Stage!J323,FIND(",",Stage!J323)-1)))</f>
        <v>34</v>
      </c>
      <c r="H298" s="117">
        <f>IF(Stage!K323="",0,LEN(TRIM(Stage!K323))-LEN(SUBSTITUTE(TRIM(Stage!K323),",",""))+1)</f>
        <v>4</v>
      </c>
      <c r="I298" s="117">
        <f>Stage!O323+Stage!P323+Stage!N323+Stage!Q323+Stage!M323</f>
        <v>4</v>
      </c>
      <c r="J298" s="117">
        <f>IF(Stage!F323=0,0,I298/Stage!F323)</f>
        <v>2.3529411764705882E-2</v>
      </c>
      <c r="K298" s="118">
        <f t="shared" si="12"/>
        <v>44.480803254859552</v>
      </c>
      <c r="L298" s="118">
        <f t="shared" si="14"/>
        <v>38.697278361256991</v>
      </c>
      <c r="M298" s="117" t="str">
        <f t="shared" si="13"/>
        <v>보통</v>
      </c>
    </row>
    <row r="299" spans="1:13" ht="15.95" customHeight="1" x14ac:dyDescent="0.3">
      <c r="A299" s="119">
        <v>286</v>
      </c>
      <c r="B299" s="119" t="str">
        <f>Stage!C324</f>
        <v>N 286</v>
      </c>
      <c r="C299" s="119">
        <f>Stage!F324</f>
        <v>185</v>
      </c>
      <c r="D299" s="119">
        <f>IF(Stage!G324="",0,LEN(TRIM(Stage!G324))-LEN(SUBSTITUTE(TRIM(Stage!G324),",",""))+1)</f>
        <v>3</v>
      </c>
      <c r="E299" s="119">
        <f>IF(ISERROR(FIND(",",Stage!H324)),VALUE(Stage!H324),(VALUE(LEFT(Stage!H324,FIND(",",Stage!H324)-1))+VALUE(TRIM(MID(Stage!H324,FIND("|",SUBSTITUTE(Stage!H324,",","|",LEN(Stage!H324)-LEN(SUBSTITUTE(Stage!H324,",",""))))+1,100))))/2)</f>
        <v>3</v>
      </c>
      <c r="F299" s="119">
        <f>IF(ISERROR(FIND(",",Stage!I324)),VALUE(Stage!I324),(VALUE(LEFT(Stage!I324,FIND(",",Stage!I324)-1))+VALUE(TRIM(MID(Stage!I324,FIND("|",SUBSTITUTE(Stage!I324,",","|",LEN(Stage!I324)-LEN(SUBSTITUTE(Stage!I324,",",""))))+1,100))))/2)</f>
        <v>0.2</v>
      </c>
      <c r="G299" s="119">
        <f>IF(ISERROR(FIND(",",Stage!J324)),VALUE(Stage!J324),VALUE(LEFT(Stage!J324,FIND(",",Stage!J324)-1)))</f>
        <v>37</v>
      </c>
      <c r="H299" s="119">
        <f>IF(Stage!K324="",0,LEN(TRIM(Stage!K324))-LEN(SUBSTITUTE(TRIM(Stage!K324),",",""))+1)</f>
        <v>4</v>
      </c>
      <c r="I299" s="119">
        <f>Stage!O324+Stage!P324+Stage!N324+Stage!Q324+Stage!M324</f>
        <v>7</v>
      </c>
      <c r="J299" s="119">
        <f>IF(Stage!F324=0,0,I299/Stage!F324)</f>
        <v>3.783783783783784E-2</v>
      </c>
      <c r="K299" s="120">
        <f t="shared" si="12"/>
        <v>47.624676220134596</v>
      </c>
      <c r="L299" s="120">
        <f t="shared" si="14"/>
        <v>37.942942985390921</v>
      </c>
      <c r="M299" s="119" t="str">
        <f t="shared" si="13"/>
        <v>어려움</v>
      </c>
    </row>
    <row r="300" spans="1:13" ht="15.95" customHeight="1" x14ac:dyDescent="0.3">
      <c r="A300" s="117">
        <v>287</v>
      </c>
      <c r="B300" s="117" t="str">
        <f>Stage!C325</f>
        <v>N 287</v>
      </c>
      <c r="C300" s="117">
        <f>Stage!F325</f>
        <v>140</v>
      </c>
      <c r="D300" s="117">
        <f>IF(Stage!G325="",0,LEN(TRIM(Stage!G325))-LEN(SUBSTITUTE(TRIM(Stage!G325),",",""))+1)</f>
        <v>3</v>
      </c>
      <c r="E300" s="117">
        <f>IF(ISERROR(FIND(",",Stage!H325)),VALUE(Stage!H325),(VALUE(LEFT(Stage!H325,FIND(",",Stage!H325)-1))+VALUE(TRIM(MID(Stage!H325,FIND("|",SUBSTITUTE(Stage!H325,",","|",LEN(Stage!H325)-LEN(SUBSTITUTE(Stage!H325,",",""))))+1,100))))/2)</f>
        <v>2.5</v>
      </c>
      <c r="F300" s="117">
        <f>IF(ISERROR(FIND(",",Stage!I325)),VALUE(Stage!I325),(VALUE(LEFT(Stage!I325,FIND(",",Stage!I325)-1))+VALUE(TRIM(MID(Stage!I325,FIND("|",SUBSTITUTE(Stage!I325,",","|",LEN(Stage!I325)-LEN(SUBSTITUTE(Stage!I325,",",""))))+1,100))))/2)</f>
        <v>0.4</v>
      </c>
      <c r="G300" s="117">
        <f>IF(ISERROR(FIND(",",Stage!J325)),VALUE(Stage!J325),VALUE(LEFT(Stage!J325,FIND(",",Stage!J325)-1)))</f>
        <v>35</v>
      </c>
      <c r="H300" s="117">
        <f>IF(Stage!K325="",0,LEN(TRIM(Stage!K325))-LEN(SUBSTITUTE(TRIM(Stage!K325),",",""))+1)</f>
        <v>3</v>
      </c>
      <c r="I300" s="117">
        <f>Stage!O325+Stage!P325+Stage!N325+Stage!Q325+Stage!M325</f>
        <v>0</v>
      </c>
      <c r="J300" s="117">
        <f>IF(Stage!F325=0,0,I300/Stage!F325)</f>
        <v>0</v>
      </c>
      <c r="K300" s="118">
        <f t="shared" si="12"/>
        <v>35.776763186351076</v>
      </c>
      <c r="L300" s="118">
        <f t="shared" si="14"/>
        <v>40.823955440835668</v>
      </c>
      <c r="M300" s="117" t="str">
        <f t="shared" si="13"/>
        <v>보통</v>
      </c>
    </row>
    <row r="301" spans="1:13" ht="15.95" customHeight="1" x14ac:dyDescent="0.3">
      <c r="A301" s="119">
        <v>288</v>
      </c>
      <c r="B301" s="119" t="str">
        <f>Stage!C326</f>
        <v>N 288</v>
      </c>
      <c r="C301" s="119">
        <f>Stage!F326</f>
        <v>100</v>
      </c>
      <c r="D301" s="119">
        <f>IF(Stage!G326="",0,LEN(TRIM(Stage!G326))-LEN(SUBSTITUTE(TRIM(Stage!G326),",",""))+1)</f>
        <v>3</v>
      </c>
      <c r="E301" s="119">
        <f>IF(ISERROR(FIND(",",Stage!H326)),VALUE(Stage!H326),(VALUE(LEFT(Stage!H326,FIND(",",Stage!H326)-1))+VALUE(TRIM(MID(Stage!H326,FIND("|",SUBSTITUTE(Stage!H326,",","|",LEN(Stage!H326)-LEN(SUBSTITUTE(Stage!H326,",",""))))+1,100))))/2)</f>
        <v>2</v>
      </c>
      <c r="F301" s="119">
        <f>IF(ISERROR(FIND(",",Stage!I326)),VALUE(Stage!I326),(VALUE(LEFT(Stage!I326,FIND(",",Stage!I326)-1))+VALUE(TRIM(MID(Stage!I326,FIND("|",SUBSTITUTE(Stage!I326,",","|",LEN(Stage!I326)-LEN(SUBSTITUTE(Stage!I326,",",""))))+1,100))))/2)</f>
        <v>0.5</v>
      </c>
      <c r="G301" s="119">
        <f>IF(ISERROR(FIND(",",Stage!J326)),VALUE(Stage!J326),VALUE(LEFT(Stage!J326,FIND(",",Stage!J326)-1)))</f>
        <v>25</v>
      </c>
      <c r="H301" s="119">
        <f>IF(Stage!K326="",0,LEN(TRIM(Stage!K326))-LEN(SUBSTITUTE(TRIM(Stage!K326),",",""))+1)</f>
        <v>3</v>
      </c>
      <c r="I301" s="119">
        <f>Stage!O326+Stage!P326+Stage!N326+Stage!Q326+Stage!M326</f>
        <v>0</v>
      </c>
      <c r="J301" s="119">
        <f>IF(Stage!F326=0,0,I301/Stage!F326)</f>
        <v>0</v>
      </c>
      <c r="K301" s="120">
        <f t="shared" si="12"/>
        <v>31.164043413833152</v>
      </c>
      <c r="L301" s="120">
        <f t="shared" si="14"/>
        <v>41.337863274785057</v>
      </c>
      <c r="M301" s="119" t="str">
        <f t="shared" si="13"/>
        <v>보통</v>
      </c>
    </row>
    <row r="302" spans="1:13" ht="15.95" customHeight="1" x14ac:dyDescent="0.3">
      <c r="A302" s="117">
        <v>289</v>
      </c>
      <c r="B302" s="117" t="str">
        <f>Stage!C327</f>
        <v>N 289</v>
      </c>
      <c r="C302" s="117">
        <f>Stage!F327</f>
        <v>175</v>
      </c>
      <c r="D302" s="117">
        <f>IF(Stage!G327="",0,LEN(TRIM(Stage!G327))-LEN(SUBSTITUTE(TRIM(Stage!G327),",",""))+1)</f>
        <v>3</v>
      </c>
      <c r="E302" s="117">
        <f>IF(ISERROR(FIND(",",Stage!H327)),VALUE(Stage!H327),(VALUE(LEFT(Stage!H327,FIND(",",Stage!H327)-1))+VALUE(TRIM(MID(Stage!H327,FIND("|",SUBSTITUTE(Stage!H327,",","|",LEN(Stage!H327)-LEN(SUBSTITUTE(Stage!H327,",",""))))+1,100))))/2)</f>
        <v>3</v>
      </c>
      <c r="F302" s="117">
        <f>IF(ISERROR(FIND(",",Stage!I327)),VALUE(Stage!I327),(VALUE(LEFT(Stage!I327,FIND(",",Stage!I327)-1))+VALUE(TRIM(MID(Stage!I327,FIND("|",SUBSTITUTE(Stage!I327,",","|",LEN(Stage!I327)-LEN(SUBSTITUTE(Stage!I327,",",""))))+1,100))))/2)</f>
        <v>0.3</v>
      </c>
      <c r="G302" s="117">
        <f>IF(ISERROR(FIND(",",Stage!J327)),VALUE(Stage!J327),VALUE(LEFT(Stage!J327,FIND(",",Stage!J327)-1)))</f>
        <v>35</v>
      </c>
      <c r="H302" s="117">
        <f>IF(Stage!K327="",0,LEN(TRIM(Stage!K327))-LEN(SUBSTITUTE(TRIM(Stage!K327),",",""))+1)</f>
        <v>4</v>
      </c>
      <c r="I302" s="117">
        <f>Stage!O327+Stage!P327+Stage!N327+Stage!Q327+Stage!M327</f>
        <v>5</v>
      </c>
      <c r="J302" s="117">
        <f>IF(Stage!F327=0,0,I302/Stage!F327)</f>
        <v>2.8571428571428571E-2</v>
      </c>
      <c r="K302" s="118">
        <f t="shared" si="12"/>
        <v>45.073491128999954</v>
      </c>
      <c r="L302" s="118">
        <f t="shared" si="14"/>
        <v>38.968280668028356</v>
      </c>
      <c r="M302" s="117" t="str">
        <f t="shared" si="13"/>
        <v>어려움</v>
      </c>
    </row>
    <row r="303" spans="1:13" ht="15.95" customHeight="1" x14ac:dyDescent="0.3">
      <c r="A303" s="119">
        <v>290</v>
      </c>
      <c r="B303" s="119" t="str">
        <f>Stage!C328</f>
        <v>N 290</v>
      </c>
      <c r="C303" s="119">
        <f>Stage!F328</f>
        <v>180</v>
      </c>
      <c r="D303" s="119">
        <f>IF(Stage!G328="",0,LEN(TRIM(Stage!G328))-LEN(SUBSTITUTE(TRIM(Stage!G328),",",""))+1)</f>
        <v>3</v>
      </c>
      <c r="E303" s="119">
        <f>IF(ISERROR(FIND(",",Stage!H328)),VALUE(Stage!H328),(VALUE(LEFT(Stage!H328,FIND(",",Stage!H328)-1))+VALUE(TRIM(MID(Stage!H328,FIND("|",SUBSTITUTE(Stage!H328,",","|",LEN(Stage!H328)-LEN(SUBSTITUTE(Stage!H328,",",""))))+1,100))))/2)</f>
        <v>3</v>
      </c>
      <c r="F303" s="119">
        <f>IF(ISERROR(FIND(",",Stage!I328)),VALUE(Stage!I328),(VALUE(LEFT(Stage!I328,FIND(",",Stage!I328)-1))+VALUE(TRIM(MID(Stage!I328,FIND("|",SUBSTITUTE(Stage!I328,",","|",LEN(Stage!I328)-LEN(SUBSTITUTE(Stage!I328,",",""))))+1,100))))/2)</f>
        <v>0.2</v>
      </c>
      <c r="G303" s="119">
        <f>IF(ISERROR(FIND(",",Stage!J328)),VALUE(Stage!J328),VALUE(LEFT(Stage!J328,FIND(",",Stage!J328)-1)))</f>
        <v>36</v>
      </c>
      <c r="H303" s="119">
        <f>IF(Stage!K328="",0,LEN(TRIM(Stage!K328))-LEN(SUBSTITUTE(TRIM(Stage!K328),",",""))+1)</f>
        <v>4</v>
      </c>
      <c r="I303" s="119">
        <f>Stage!O328+Stage!P328+Stage!N328+Stage!Q328+Stage!M328</f>
        <v>6</v>
      </c>
      <c r="J303" s="119">
        <f>IF(Stage!F328=0,0,I303/Stage!F328)</f>
        <v>3.3333333333333333E-2</v>
      </c>
      <c r="K303" s="120">
        <f t="shared" si="12"/>
        <v>47.050342424606512</v>
      </c>
      <c r="L303" s="120">
        <f t="shared" si="14"/>
        <v>39.052384957347108</v>
      </c>
      <c r="M303" s="119" t="str">
        <f t="shared" si="13"/>
        <v>어려움</v>
      </c>
    </row>
    <row r="304" spans="1:13" ht="15.95" customHeight="1" x14ac:dyDescent="0.3">
      <c r="A304" s="117">
        <v>291</v>
      </c>
      <c r="B304" s="117" t="str">
        <f>Stage!C329</f>
        <v>N 291</v>
      </c>
      <c r="C304" s="117">
        <f>Stage!F329</f>
        <v>140</v>
      </c>
      <c r="D304" s="117">
        <f>IF(Stage!G329="",0,LEN(TRIM(Stage!G329))-LEN(SUBSTITUTE(TRIM(Stage!G329),",",""))+1)</f>
        <v>3</v>
      </c>
      <c r="E304" s="117">
        <f>IF(ISERROR(FIND(",",Stage!H329)),VALUE(Stage!H329),(VALUE(LEFT(Stage!H329,FIND(",",Stage!H329)-1))+VALUE(TRIM(MID(Stage!H329,FIND("|",SUBSTITUTE(Stage!H329,",","|",LEN(Stage!H329)-LEN(SUBSTITUTE(Stage!H329,",",""))))+1,100))))/2)</f>
        <v>2.5</v>
      </c>
      <c r="F304" s="117">
        <f>IF(ISERROR(FIND(",",Stage!I329)),VALUE(Stage!I329),(VALUE(LEFT(Stage!I329,FIND(",",Stage!I329)-1))+VALUE(TRIM(MID(Stage!I329,FIND("|",SUBSTITUTE(Stage!I329,",","|",LEN(Stage!I329)-LEN(SUBSTITUTE(Stage!I329,",",""))))+1,100))))/2)</f>
        <v>0.4</v>
      </c>
      <c r="G304" s="117">
        <f>IF(ISERROR(FIND(",",Stage!J329)),VALUE(Stage!J329),VALUE(LEFT(Stage!J329,FIND(",",Stage!J329)-1)))</f>
        <v>35</v>
      </c>
      <c r="H304" s="117">
        <f>IF(Stage!K329="",0,LEN(TRIM(Stage!K329))-LEN(SUBSTITUTE(TRIM(Stage!K329),",",""))+1)</f>
        <v>3</v>
      </c>
      <c r="I304" s="117">
        <f>Stage!O329+Stage!P329+Stage!N329+Stage!Q329+Stage!M329</f>
        <v>0</v>
      </c>
      <c r="J304" s="117">
        <f>IF(Stage!F329=0,0,I304/Stage!F329)</f>
        <v>0</v>
      </c>
      <c r="K304" s="118">
        <f t="shared" si="12"/>
        <v>35.776763186351076</v>
      </c>
      <c r="L304" s="118">
        <f t="shared" si="14"/>
        <v>42.7140293964516</v>
      </c>
      <c r="M304" s="117" t="str">
        <f t="shared" si="13"/>
        <v>보통</v>
      </c>
    </row>
    <row r="305" spans="1:13" ht="15.95" customHeight="1" x14ac:dyDescent="0.3">
      <c r="A305" s="119">
        <v>292</v>
      </c>
      <c r="B305" s="119" t="str">
        <f>Stage!C330</f>
        <v>N 292</v>
      </c>
      <c r="C305" s="119">
        <f>Stage!F330</f>
        <v>145</v>
      </c>
      <c r="D305" s="119">
        <f>IF(Stage!G330="",0,LEN(TRIM(Stage!G330))-LEN(SUBSTITUTE(TRIM(Stage!G330),",",""))+1)</f>
        <v>3</v>
      </c>
      <c r="E305" s="119">
        <f>IF(ISERROR(FIND(",",Stage!H330)),VALUE(Stage!H330),(VALUE(LEFT(Stage!H330,FIND(",",Stage!H330)-1))+VALUE(TRIM(MID(Stage!H330,FIND("|",SUBSTITUTE(Stage!H330,",","|",LEN(Stage!H330)-LEN(SUBSTITUTE(Stage!H330,",",""))))+1,100))))/2)</f>
        <v>2.5</v>
      </c>
      <c r="F305" s="119">
        <f>IF(ISERROR(FIND(",",Stage!I330)),VALUE(Stage!I330),(VALUE(LEFT(Stage!I330,FIND(",",Stage!I330)-1))+VALUE(TRIM(MID(Stage!I330,FIND("|",SUBSTITUTE(Stage!I330,",","|",LEN(Stage!I330)-LEN(SUBSTITUTE(Stage!I330,",",""))))+1,100))))/2)</f>
        <v>0.4</v>
      </c>
      <c r="G305" s="119">
        <f>IF(ISERROR(FIND(",",Stage!J330)),VALUE(Stage!J330),VALUE(LEFT(Stage!J330,FIND(",",Stage!J330)-1)))</f>
        <v>36</v>
      </c>
      <c r="H305" s="119">
        <f>IF(Stage!K330="",0,LEN(TRIM(Stage!K330))-LEN(SUBSTITUTE(TRIM(Stage!K330),",",""))+1)</f>
        <v>3</v>
      </c>
      <c r="I305" s="119">
        <f>Stage!O330+Stage!P330+Stage!N330+Stage!Q330+Stage!M330</f>
        <v>0</v>
      </c>
      <c r="J305" s="119">
        <f>IF(Stage!F330=0,0,I305/Stage!F330)</f>
        <v>0</v>
      </c>
      <c r="K305" s="120">
        <f t="shared" si="12"/>
        <v>36.19728463294485</v>
      </c>
      <c r="L305" s="120">
        <f t="shared" si="14"/>
        <v>42.714029396451608</v>
      </c>
      <c r="M305" s="119" t="str">
        <f t="shared" si="13"/>
        <v>보통</v>
      </c>
    </row>
    <row r="306" spans="1:13" ht="15.95" customHeight="1" x14ac:dyDescent="0.3">
      <c r="A306" s="117">
        <v>293</v>
      </c>
      <c r="B306" s="117" t="str">
        <f>Stage!C331</f>
        <v>N 293</v>
      </c>
      <c r="C306" s="117">
        <f>Stage!F331</f>
        <v>200</v>
      </c>
      <c r="D306" s="117">
        <f>IF(Stage!G331="",0,LEN(TRIM(Stage!G331))-LEN(SUBSTITUTE(TRIM(Stage!G331),",",""))+1)</f>
        <v>3</v>
      </c>
      <c r="E306" s="117">
        <f>IF(ISERROR(FIND(",",Stage!H331)),VALUE(Stage!H331),(VALUE(LEFT(Stage!H331,FIND(",",Stage!H331)-1))+VALUE(TRIM(MID(Stage!H331,FIND("|",SUBSTITUTE(Stage!H331,",","|",LEN(Stage!H331)-LEN(SUBSTITUTE(Stage!H331,",",""))))+1,100))))/2)</f>
        <v>3</v>
      </c>
      <c r="F306" s="117">
        <f>IF(ISERROR(FIND(",",Stage!I331)),VALUE(Stage!I331),(VALUE(LEFT(Stage!I331,FIND(",",Stage!I331)-1))+VALUE(TRIM(MID(Stage!I331,FIND("|",SUBSTITUTE(Stage!I331,",","|",LEN(Stage!I331)-LEN(SUBSTITUTE(Stage!I331,",",""))))+1,100))))/2)</f>
        <v>0.2</v>
      </c>
      <c r="G306" s="117">
        <f>IF(ISERROR(FIND(",",Stage!J331)),VALUE(Stage!J331),VALUE(LEFT(Stage!J331,FIND(",",Stage!J331)-1)))</f>
        <v>40</v>
      </c>
      <c r="H306" s="117">
        <f>IF(Stage!K331="",0,LEN(TRIM(Stage!K331))-LEN(SUBSTITUTE(TRIM(Stage!K331),",",""))+1)</f>
        <v>4</v>
      </c>
      <c r="I306" s="117">
        <f>Stage!O331+Stage!P331+Stage!N331+Stage!Q331+Stage!M331</f>
        <v>11</v>
      </c>
      <c r="J306" s="117">
        <f>IF(Stage!F331=0,0,I306/Stage!F331)</f>
        <v>5.5E-2</v>
      </c>
      <c r="K306" s="118">
        <f t="shared" si="12"/>
        <v>49.472265609355603</v>
      </c>
      <c r="L306" s="118">
        <f t="shared" si="14"/>
        <v>39.358108053986939</v>
      </c>
      <c r="M306" s="117" t="str">
        <f t="shared" si="13"/>
        <v>어려움</v>
      </c>
    </row>
    <row r="307" spans="1:13" ht="15.95" customHeight="1" x14ac:dyDescent="0.3">
      <c r="A307" s="119">
        <v>294</v>
      </c>
      <c r="B307" s="119" t="str">
        <f>Stage!C332</f>
        <v>N 294</v>
      </c>
      <c r="C307" s="119">
        <f>Stage!F332</f>
        <v>175</v>
      </c>
      <c r="D307" s="119">
        <f>IF(Stage!G332="",0,LEN(TRIM(Stage!G332))-LEN(SUBSTITUTE(TRIM(Stage!G332),",",""))+1)</f>
        <v>3</v>
      </c>
      <c r="E307" s="119">
        <f>IF(ISERROR(FIND(",",Stage!H332)),VALUE(Stage!H332),(VALUE(LEFT(Stage!H332,FIND(",",Stage!H332)-1))+VALUE(TRIM(MID(Stage!H332,FIND("|",SUBSTITUTE(Stage!H332,",","|",LEN(Stage!H332)-LEN(SUBSTITUTE(Stage!H332,",",""))))+1,100))))/2)</f>
        <v>3</v>
      </c>
      <c r="F307" s="119">
        <f>IF(ISERROR(FIND(",",Stage!I332)),VALUE(Stage!I332),(VALUE(LEFT(Stage!I332,FIND(",",Stage!I332)-1))+VALUE(TRIM(MID(Stage!I332,FIND("|",SUBSTITUTE(Stage!I332,",","|",LEN(Stage!I332)-LEN(SUBSTITUTE(Stage!I332,",",""))))+1,100))))/2)</f>
        <v>0.3</v>
      </c>
      <c r="G307" s="119">
        <f>IF(ISERROR(FIND(",",Stage!J332)),VALUE(Stage!J332),VALUE(LEFT(Stage!J332,FIND(",",Stage!J332)-1)))</f>
        <v>35</v>
      </c>
      <c r="H307" s="119">
        <f>IF(Stage!K332="",0,LEN(TRIM(Stage!K332))-LEN(SUBSTITUTE(TRIM(Stage!K332),",",""))+1)</f>
        <v>4</v>
      </c>
      <c r="I307" s="119">
        <f>Stage!O332+Stage!P332+Stage!N332+Stage!Q332+Stage!M332</f>
        <v>5</v>
      </c>
      <c r="J307" s="119">
        <f>IF(Stage!F332=0,0,I307/Stage!F332)</f>
        <v>2.8571428571428571E-2</v>
      </c>
      <c r="K307" s="120">
        <f t="shared" si="12"/>
        <v>45.073491128999954</v>
      </c>
      <c r="L307" s="120">
        <f t="shared" si="14"/>
        <v>39.358108053986946</v>
      </c>
      <c r="M307" s="119" t="str">
        <f t="shared" si="13"/>
        <v>어려움</v>
      </c>
    </row>
    <row r="308" spans="1:13" ht="15.95" customHeight="1" x14ac:dyDescent="0.3">
      <c r="A308" s="117">
        <v>295</v>
      </c>
      <c r="B308" s="117" t="str">
        <f>Stage!C333</f>
        <v>N 295</v>
      </c>
      <c r="C308" s="117">
        <f>Stage!F333</f>
        <v>90</v>
      </c>
      <c r="D308" s="117">
        <f>IF(Stage!G333="",0,LEN(TRIM(Stage!G333))-LEN(SUBSTITUTE(TRIM(Stage!G333),",",""))+1)</f>
        <v>2</v>
      </c>
      <c r="E308" s="117">
        <f>IF(ISERROR(FIND(",",Stage!H333)),VALUE(Stage!H333),(VALUE(LEFT(Stage!H333,FIND(",",Stage!H333)-1))+VALUE(TRIM(MID(Stage!H333,FIND("|",SUBSTITUTE(Stage!H333,",","|",LEN(Stage!H333)-LEN(SUBSTITUTE(Stage!H333,",",""))))+1,100))))/2)</f>
        <v>2</v>
      </c>
      <c r="F308" s="117">
        <f>IF(ISERROR(FIND(",",Stage!I333)),VALUE(Stage!I333),(VALUE(LEFT(Stage!I333,FIND(",",Stage!I333)-1))+VALUE(TRIM(MID(Stage!I333,FIND("|",SUBSTITUTE(Stage!I333,",","|",LEN(Stage!I333)-LEN(SUBSTITUTE(Stage!I333,",",""))))+1,100))))/2)</f>
        <v>0.6</v>
      </c>
      <c r="G308" s="117">
        <f>IF(ISERROR(FIND(",",Stage!J333)),VALUE(Stage!J333),VALUE(LEFT(Stage!J333,FIND(",",Stage!J333)-1)))</f>
        <v>18</v>
      </c>
      <c r="H308" s="117">
        <f>IF(Stage!K333="",0,LEN(TRIM(Stage!K333))-LEN(SUBSTITUTE(TRIM(Stage!K333),",",""))+1)</f>
        <v>4</v>
      </c>
      <c r="I308" s="117">
        <f>Stage!O333+Stage!P333+Stage!N333+Stage!Q333+Stage!M333</f>
        <v>0</v>
      </c>
      <c r="J308" s="117">
        <f>IF(Stage!F333=0,0,I308/Stage!F333)</f>
        <v>0</v>
      </c>
      <c r="K308" s="118">
        <f t="shared" si="12"/>
        <v>30.270735712283237</v>
      </c>
      <c r="L308" s="118">
        <f t="shared" si="14"/>
        <v>39.189899475349435</v>
      </c>
      <c r="M308" s="117" t="str">
        <f t="shared" si="13"/>
        <v>보통</v>
      </c>
    </row>
    <row r="309" spans="1:13" ht="15.95" customHeight="1" x14ac:dyDescent="0.3">
      <c r="A309" s="119">
        <v>296</v>
      </c>
      <c r="B309" s="119" t="str">
        <f>Stage!C334</f>
        <v>N 296</v>
      </c>
      <c r="C309" s="119">
        <f>Stage!F334</f>
        <v>140</v>
      </c>
      <c r="D309" s="119">
        <f>IF(Stage!G334="",0,LEN(TRIM(Stage!G334))-LEN(SUBSTITUTE(TRIM(Stage!G334),",",""))+1)</f>
        <v>3</v>
      </c>
      <c r="E309" s="119">
        <f>IF(ISERROR(FIND(",",Stage!H334)),VALUE(Stage!H334),(VALUE(LEFT(Stage!H334,FIND(",",Stage!H334)-1))+VALUE(TRIM(MID(Stage!H334,FIND("|",SUBSTITUTE(Stage!H334,",","|",LEN(Stage!H334)-LEN(SUBSTITUTE(Stage!H334,",",""))))+1,100))))/2)</f>
        <v>2.5</v>
      </c>
      <c r="F309" s="119">
        <f>IF(ISERROR(FIND(",",Stage!I334)),VALUE(Stage!I334),(VALUE(LEFT(Stage!I334,FIND(",",Stage!I334)-1))+VALUE(TRIM(MID(Stage!I334,FIND("|",SUBSTITUTE(Stage!I334,",","|",LEN(Stage!I334)-LEN(SUBSTITUTE(Stage!I334,",",""))))+1,100))))/2)</f>
        <v>0.4</v>
      </c>
      <c r="G309" s="119">
        <f>IF(ISERROR(FIND(",",Stage!J334)),VALUE(Stage!J334),VALUE(LEFT(Stage!J334,FIND(",",Stage!J334)-1)))</f>
        <v>35</v>
      </c>
      <c r="H309" s="119">
        <f>IF(Stage!K334="",0,LEN(TRIM(Stage!K334))-LEN(SUBSTITUTE(TRIM(Stage!K334),",",""))+1)</f>
        <v>3</v>
      </c>
      <c r="I309" s="119">
        <f>Stage!O334+Stage!P334+Stage!N334+Stage!Q334+Stage!M334</f>
        <v>0</v>
      </c>
      <c r="J309" s="119">
        <f>IF(Stage!F334=0,0,I309/Stage!F334)</f>
        <v>0</v>
      </c>
      <c r="K309" s="120">
        <f t="shared" si="12"/>
        <v>35.776763186351076</v>
      </c>
      <c r="L309" s="120">
        <f t="shared" si="14"/>
        <v>34.707036725539673</v>
      </c>
      <c r="M309" s="119" t="str">
        <f t="shared" si="13"/>
        <v>보통</v>
      </c>
    </row>
    <row r="310" spans="1:13" ht="15.95" customHeight="1" x14ac:dyDescent="0.3">
      <c r="A310" s="117">
        <v>297</v>
      </c>
      <c r="B310" s="117" t="str">
        <f>Stage!C335</f>
        <v>N 297</v>
      </c>
      <c r="C310" s="117">
        <f>Stage!F335</f>
        <v>135</v>
      </c>
      <c r="D310" s="117">
        <f>IF(Stage!G335="",0,LEN(TRIM(Stage!G335))-LEN(SUBSTITUTE(TRIM(Stage!G335),",",""))+1)</f>
        <v>3</v>
      </c>
      <c r="E310" s="117">
        <f>IF(ISERROR(FIND(",",Stage!H335)),VALUE(Stage!H335),(VALUE(LEFT(Stage!H335,FIND(",",Stage!H335)-1))+VALUE(TRIM(MID(Stage!H335,FIND("|",SUBSTITUTE(Stage!H335,",","|",LEN(Stage!H335)-LEN(SUBSTITUTE(Stage!H335,",",""))))+1,100))))/2)</f>
        <v>2.5</v>
      </c>
      <c r="F310" s="117">
        <f>IF(ISERROR(FIND(",",Stage!I335)),VALUE(Stage!I335),(VALUE(LEFT(Stage!I335,FIND(",",Stage!I335)-1))+VALUE(TRIM(MID(Stage!I335,FIND("|",SUBSTITUTE(Stage!I335,",","|",LEN(Stage!I335)-LEN(SUBSTITUTE(Stage!I335,",",""))))+1,100))))/2)</f>
        <v>0.4</v>
      </c>
      <c r="G310" s="117">
        <f>IF(ISERROR(FIND(",",Stage!J335)),VALUE(Stage!J335),VALUE(LEFT(Stage!J335,FIND(",",Stage!J335)-1)))</f>
        <v>33</v>
      </c>
      <c r="H310" s="117">
        <f>IF(Stage!K335="",0,LEN(TRIM(Stage!K335))-LEN(SUBSTITUTE(TRIM(Stage!K335),",",""))+1)</f>
        <v>3</v>
      </c>
      <c r="I310" s="117">
        <f>Stage!O335+Stage!P335+Stage!N335+Stage!Q335+Stage!M335</f>
        <v>0</v>
      </c>
      <c r="J310" s="117">
        <f>IF(Stage!F335=0,0,I310/Stage!F335)</f>
        <v>0</v>
      </c>
      <c r="K310" s="118">
        <f t="shared" si="12"/>
        <v>35.356241739757294</v>
      </c>
      <c r="L310" s="118">
        <f t="shared" si="14"/>
        <v>34.588499150711591</v>
      </c>
      <c r="M310" s="117" t="str">
        <f t="shared" si="13"/>
        <v>보통</v>
      </c>
    </row>
    <row r="311" spans="1:13" ht="15.95" customHeight="1" x14ac:dyDescent="0.3">
      <c r="A311" s="119">
        <v>298</v>
      </c>
      <c r="B311" s="119" t="str">
        <f>Stage!C336</f>
        <v>N 298</v>
      </c>
      <c r="C311" s="119">
        <f>Stage!F336</f>
        <v>75</v>
      </c>
      <c r="D311" s="119">
        <f>IF(Stage!G336="",0,LEN(TRIM(Stage!G336))-LEN(SUBSTITUTE(TRIM(Stage!G336),",",""))+1)</f>
        <v>2</v>
      </c>
      <c r="E311" s="119">
        <f>IF(ISERROR(FIND(",",Stage!H336)),VALUE(Stage!H336),(VALUE(LEFT(Stage!H336,FIND(",",Stage!H336)-1))+VALUE(TRIM(MID(Stage!H336,FIND("|",SUBSTITUTE(Stage!H336,",","|",LEN(Stage!H336)-LEN(SUBSTITUTE(Stage!H336,",",""))))+1,100))))/2)</f>
        <v>2</v>
      </c>
      <c r="F311" s="119">
        <f>IF(ISERROR(FIND(",",Stage!I336)),VALUE(Stage!I336),(VALUE(LEFT(Stage!I336,FIND(",",Stage!I336)-1))+VALUE(TRIM(MID(Stage!I336,FIND("|",SUBSTITUTE(Stage!I336,",","|",LEN(Stage!I336)-LEN(SUBSTITUTE(Stage!I336,",",""))))+1,100))))/2)</f>
        <v>0.6</v>
      </c>
      <c r="G311" s="119">
        <f>IF(ISERROR(FIND(",",Stage!J336)),VALUE(Stage!J336),VALUE(LEFT(Stage!J336,FIND(",",Stage!J336)-1)))</f>
        <v>18</v>
      </c>
      <c r="H311" s="119">
        <f>IF(Stage!K336="",0,LEN(TRIM(Stage!K336))-LEN(SUBSTITUTE(TRIM(Stage!K336),",",""))+1)</f>
        <v>3</v>
      </c>
      <c r="I311" s="119">
        <f>Stage!O336+Stage!P336+Stage!N336+Stage!Q336+Stage!M336</f>
        <v>0</v>
      </c>
      <c r="J311" s="119">
        <f>IF(Stage!F336=0,0,I311/Stage!F336)</f>
        <v>0</v>
      </c>
      <c r="K311" s="120">
        <f t="shared" si="12"/>
        <v>27.057951860306783</v>
      </c>
      <c r="L311" s="120">
        <f t="shared" si="14"/>
        <v>36.420381006793768</v>
      </c>
      <c r="M311" s="119" t="str">
        <f t="shared" si="13"/>
        <v>보통</v>
      </c>
    </row>
    <row r="312" spans="1:13" ht="15.95" customHeight="1" x14ac:dyDescent="0.3">
      <c r="A312" s="117">
        <v>299</v>
      </c>
      <c r="B312" s="117" t="str">
        <f>Stage!C337</f>
        <v>N 299</v>
      </c>
      <c r="C312" s="117">
        <f>Stage!F337</f>
        <v>170</v>
      </c>
      <c r="D312" s="117">
        <f>IF(Stage!G337="",0,LEN(TRIM(Stage!G337))-LEN(SUBSTITUTE(TRIM(Stage!G337),",",""))+1)</f>
        <v>3</v>
      </c>
      <c r="E312" s="117">
        <f>IF(ISERROR(FIND(",",Stage!H337)),VALUE(Stage!H337),(VALUE(LEFT(Stage!H337,FIND(",",Stage!H337)-1))+VALUE(TRIM(MID(Stage!H337,FIND("|",SUBSTITUTE(Stage!H337,",","|",LEN(Stage!H337)-LEN(SUBSTITUTE(Stage!H337,",",""))))+1,100))))/2)</f>
        <v>3</v>
      </c>
      <c r="F312" s="117">
        <f>IF(ISERROR(FIND(",",Stage!I337)),VALUE(Stage!I337),(VALUE(LEFT(Stage!I337,FIND(",",Stage!I337)-1))+VALUE(TRIM(MID(Stage!I337,FIND("|",SUBSTITUTE(Stage!I337,",","|",LEN(Stage!I337)-LEN(SUBSTITUTE(Stage!I337,",",""))))+1,100))))/2)</f>
        <v>0.3</v>
      </c>
      <c r="G312" s="117">
        <f>IF(ISERROR(FIND(",",Stage!J337)),VALUE(Stage!J337),VALUE(LEFT(Stage!J337,FIND(",",Stage!J337)-1)))</f>
        <v>34</v>
      </c>
      <c r="H312" s="117">
        <f>IF(Stage!K337="",0,LEN(TRIM(Stage!K337))-LEN(SUBSTITUTE(TRIM(Stage!K337),",",""))+1)</f>
        <v>4</v>
      </c>
      <c r="I312" s="117">
        <f>Stage!O337+Stage!P337+Stage!N337+Stage!Q337+Stage!M337</f>
        <v>4</v>
      </c>
      <c r="J312" s="117">
        <f>IF(Stage!F337=0,0,I312/Stage!F337)</f>
        <v>2.3529411764705882E-2</v>
      </c>
      <c r="K312" s="118">
        <f t="shared" si="12"/>
        <v>44.480803254859552</v>
      </c>
      <c r="L312" s="118">
        <f t="shared" si="14"/>
        <v>37.634060514838296</v>
      </c>
      <c r="M312" s="117" t="str">
        <f t="shared" si="13"/>
        <v>보통</v>
      </c>
    </row>
    <row r="313" spans="1:13" ht="15.95" customHeight="1" x14ac:dyDescent="0.3">
      <c r="A313" s="119">
        <v>300</v>
      </c>
      <c r="B313" s="119" t="str">
        <f>Stage!C338</f>
        <v>N 300</v>
      </c>
      <c r="C313" s="119">
        <f>Stage!F338</f>
        <v>155</v>
      </c>
      <c r="D313" s="119">
        <f>IF(Stage!G338="",0,LEN(TRIM(Stage!G338))-LEN(SUBSTITUTE(TRIM(Stage!G338),",",""))+1)</f>
        <v>3</v>
      </c>
      <c r="E313" s="119">
        <f>IF(ISERROR(FIND(",",Stage!H338)),VALUE(Stage!H338),(VALUE(LEFT(Stage!H338,FIND(",",Stage!H338)-1))+VALUE(TRIM(MID(Stage!H338,FIND("|",SUBSTITUTE(Stage!H338,",","|",LEN(Stage!H338)-LEN(SUBSTITUTE(Stage!H338,",",""))))+1,100))))/2)</f>
        <v>2.5</v>
      </c>
      <c r="F313" s="119">
        <f>IF(ISERROR(FIND(",",Stage!I338)),VALUE(Stage!I338),(VALUE(LEFT(Stage!I338,FIND(",",Stage!I338)-1))+VALUE(TRIM(MID(Stage!I338,FIND("|",SUBSTITUTE(Stage!I338,",","|",LEN(Stage!I338)-LEN(SUBSTITUTE(Stage!I338,",",""))))+1,100))))/2)</f>
        <v>0.4</v>
      </c>
      <c r="G313" s="119">
        <f>IF(ISERROR(FIND(",",Stage!J338)),VALUE(Stage!J338),VALUE(LEFT(Stage!J338,FIND(",",Stage!J338)-1)))</f>
        <v>31</v>
      </c>
      <c r="H313" s="119">
        <f>IF(Stage!K338="",0,LEN(TRIM(Stage!K338))-LEN(SUBSTITUTE(TRIM(Stage!K338),",",""))+1)</f>
        <v>4</v>
      </c>
      <c r="I313" s="119">
        <f>Stage!O338+Stage!P338+Stage!N338+Stage!Q338+Stage!M338</f>
        <v>2</v>
      </c>
      <c r="J313" s="119">
        <f>IF(Stage!F338=0,0,I313/Stage!F338)</f>
        <v>1.2903225806451613E-2</v>
      </c>
      <c r="K313" s="120">
        <f t="shared" si="12"/>
        <v>39.43014499269416</v>
      </c>
      <c r="L313" s="120">
        <f t="shared" si="14"/>
        <v>38.322145740518138</v>
      </c>
      <c r="M313" s="119" t="str">
        <f t="shared" si="13"/>
        <v>보통</v>
      </c>
    </row>
    <row r="314" spans="1:13" ht="15.95" customHeight="1" x14ac:dyDescent="0.3">
      <c r="A314" s="117">
        <v>301</v>
      </c>
      <c r="B314" s="117" t="str">
        <f>Stage!C339</f>
        <v>N 301</v>
      </c>
      <c r="C314" s="117">
        <f>Stage!F339</f>
        <v>165</v>
      </c>
      <c r="D314" s="117">
        <f>IF(Stage!G339="",0,LEN(TRIM(Stage!G339))-LEN(SUBSTITUTE(TRIM(Stage!G339),",",""))+1)</f>
        <v>3</v>
      </c>
      <c r="E314" s="117">
        <f>IF(ISERROR(FIND(",",Stage!H339)),VALUE(Stage!H339),(VALUE(LEFT(Stage!H339,FIND(",",Stage!H339)-1))+VALUE(TRIM(MID(Stage!H339,FIND("|",SUBSTITUTE(Stage!H339,",","|",LEN(Stage!H339)-LEN(SUBSTITUTE(Stage!H339,",",""))))+1,100))))/2)</f>
        <v>2.5</v>
      </c>
      <c r="F314" s="117">
        <f>IF(ISERROR(FIND(",",Stage!I339)),VALUE(Stage!I339),(VALUE(LEFT(Stage!I339,FIND(",",Stage!I339)-1))+VALUE(TRIM(MID(Stage!I339,FIND("|",SUBSTITUTE(Stage!I339,",","|",LEN(Stage!I339)-LEN(SUBSTITUTE(Stage!I339,",",""))))+1,100))))/2)</f>
        <v>0.3</v>
      </c>
      <c r="G314" s="117">
        <f>IF(ISERROR(FIND(",",Stage!J339)),VALUE(Stage!J339),VALUE(LEFT(Stage!J339,FIND(",",Stage!J339)-1)))</f>
        <v>33</v>
      </c>
      <c r="H314" s="117">
        <f>IF(Stage!K339="",0,LEN(TRIM(Stage!K339))-LEN(SUBSTITUTE(TRIM(Stage!K339),",",""))+1)</f>
        <v>4</v>
      </c>
      <c r="I314" s="117">
        <f>Stage!O339+Stage!P339+Stage!N339+Stage!Q339+Stage!M339</f>
        <v>3</v>
      </c>
      <c r="J314" s="117">
        <f>IF(Stage!F339=0,0,I314/Stage!F339)</f>
        <v>1.8181818181818181E-2</v>
      </c>
      <c r="K314" s="118">
        <f t="shared" si="12"/>
        <v>41.845160726573674</v>
      </c>
      <c r="L314" s="118">
        <f t="shared" si="14"/>
        <v>40.752524571558943</v>
      </c>
      <c r="M314" s="117" t="str">
        <f t="shared" si="13"/>
        <v>보통</v>
      </c>
    </row>
    <row r="315" spans="1:13" ht="15.95" customHeight="1" x14ac:dyDescent="0.3">
      <c r="A315" s="119">
        <v>302</v>
      </c>
      <c r="B315" s="119" t="str">
        <f>Stage!C340</f>
        <v>N 302</v>
      </c>
      <c r="C315" s="119">
        <f>Stage!F340</f>
        <v>150</v>
      </c>
      <c r="D315" s="119">
        <f>IF(Stage!G340="",0,LEN(TRIM(Stage!G340))-LEN(SUBSTITUTE(TRIM(Stage!G340),",",""))+1)</f>
        <v>3</v>
      </c>
      <c r="E315" s="119">
        <f>IF(ISERROR(FIND(",",Stage!H340)),VALUE(Stage!H340),(VALUE(LEFT(Stage!H340,FIND(",",Stage!H340)-1))+VALUE(TRIM(MID(Stage!H340,FIND("|",SUBSTITUTE(Stage!H340,",","|",LEN(Stage!H340)-LEN(SUBSTITUTE(Stage!H340,",",""))))+1,100))))/2)</f>
        <v>2.5</v>
      </c>
      <c r="F315" s="119">
        <f>IF(ISERROR(FIND(",",Stage!I340)),VALUE(Stage!I340),(VALUE(LEFT(Stage!I340,FIND(",",Stage!I340)-1))+VALUE(TRIM(MID(Stage!I340,FIND("|",SUBSTITUTE(Stage!I340,",","|",LEN(Stage!I340)-LEN(SUBSTITUTE(Stage!I340,",",""))))+1,100))))/2)</f>
        <v>0.4</v>
      </c>
      <c r="G315" s="119">
        <f>IF(ISERROR(FIND(",",Stage!J340)),VALUE(Stage!J340),VALUE(LEFT(Stage!J340,FIND(",",Stage!J340)-1)))</f>
        <v>30</v>
      </c>
      <c r="H315" s="119">
        <f>IF(Stage!K340="",0,LEN(TRIM(Stage!K340))-LEN(SUBSTITUTE(TRIM(Stage!K340),",",""))+1)</f>
        <v>4</v>
      </c>
      <c r="I315" s="119">
        <f>Stage!O340+Stage!P340+Stage!N340+Stage!Q340+Stage!M340</f>
        <v>1</v>
      </c>
      <c r="J315" s="119">
        <f>IF(Stage!F340=0,0,I315/Stage!F340)</f>
        <v>6.6666666666666671E-3</v>
      </c>
      <c r="K315" s="120">
        <f t="shared" si="12"/>
        <v>38.796667868156511</v>
      </c>
      <c r="L315" s="120">
        <f t="shared" si="14"/>
        <v>40.752524571558943</v>
      </c>
      <c r="M315" s="119" t="str">
        <f t="shared" si="13"/>
        <v>보통</v>
      </c>
    </row>
    <row r="316" spans="1:13" ht="15.95" customHeight="1" x14ac:dyDescent="0.3">
      <c r="A316" s="117">
        <v>303</v>
      </c>
      <c r="B316" s="117" t="str">
        <f>Stage!C341</f>
        <v>N 303</v>
      </c>
      <c r="C316" s="117">
        <f>Stage!F341</f>
        <v>155</v>
      </c>
      <c r="D316" s="117">
        <f>IF(Stage!G341="",0,LEN(TRIM(Stage!G341))-LEN(SUBSTITUTE(TRIM(Stage!G341),",",""))+1)</f>
        <v>3</v>
      </c>
      <c r="E316" s="117">
        <f>IF(ISERROR(FIND(",",Stage!H341)),VALUE(Stage!H341),(VALUE(LEFT(Stage!H341,FIND(",",Stage!H341)-1))+VALUE(TRIM(MID(Stage!H341,FIND("|",SUBSTITUTE(Stage!H341,",","|",LEN(Stage!H341)-LEN(SUBSTITUTE(Stage!H341,",",""))))+1,100))))/2)</f>
        <v>2.5</v>
      </c>
      <c r="F316" s="117">
        <f>IF(ISERROR(FIND(",",Stage!I341)),VALUE(Stage!I341),(VALUE(LEFT(Stage!I341,FIND(",",Stage!I341)-1))+VALUE(TRIM(MID(Stage!I341,FIND("|",SUBSTITUTE(Stage!I341,",","|",LEN(Stage!I341)-LEN(SUBSTITUTE(Stage!I341,",",""))))+1,100))))/2)</f>
        <v>0.4</v>
      </c>
      <c r="G316" s="117">
        <f>IF(ISERROR(FIND(",",Stage!J341)),VALUE(Stage!J341),VALUE(LEFT(Stage!J341,FIND(",",Stage!J341)-1)))</f>
        <v>31</v>
      </c>
      <c r="H316" s="117">
        <f>IF(Stage!K341="",0,LEN(TRIM(Stage!K341))-LEN(SUBSTITUTE(TRIM(Stage!K341),",",""))+1)</f>
        <v>4</v>
      </c>
      <c r="I316" s="117">
        <f>Stage!O341+Stage!P341+Stage!N341+Stage!Q341+Stage!M341</f>
        <v>1</v>
      </c>
      <c r="J316" s="117">
        <f>IF(Stage!F341=0,0,I316/Stage!F341)</f>
        <v>6.4516129032258064E-3</v>
      </c>
      <c r="K316" s="118">
        <f t="shared" si="12"/>
        <v>39.209846015510841</v>
      </c>
      <c r="L316" s="118">
        <f t="shared" si="14"/>
        <v>40.235585244212395</v>
      </c>
      <c r="M316" s="117" t="str">
        <f t="shared" si="13"/>
        <v>보통</v>
      </c>
    </row>
    <row r="317" spans="1:13" ht="15.95" customHeight="1" x14ac:dyDescent="0.3">
      <c r="A317" s="119">
        <v>304</v>
      </c>
      <c r="B317" s="119" t="str">
        <f>Stage!C342</f>
        <v>N 304</v>
      </c>
      <c r="C317" s="119">
        <f>Stage!F342</f>
        <v>170</v>
      </c>
      <c r="D317" s="119">
        <f>IF(Stage!G342="",0,LEN(TRIM(Stage!G342))-LEN(SUBSTITUTE(TRIM(Stage!G342),",",""))+1)</f>
        <v>3</v>
      </c>
      <c r="E317" s="119">
        <f>IF(ISERROR(FIND(",",Stage!H342)),VALUE(Stage!H342),(VALUE(LEFT(Stage!H342,FIND(",",Stage!H342)-1))+VALUE(TRIM(MID(Stage!H342,FIND("|",SUBSTITUTE(Stage!H342,",","|",LEN(Stage!H342)-LEN(SUBSTITUTE(Stage!H342,",",""))))+1,100))))/2)</f>
        <v>3</v>
      </c>
      <c r="F317" s="119">
        <f>IF(ISERROR(FIND(",",Stage!I342)),VALUE(Stage!I342),(VALUE(LEFT(Stage!I342,FIND(",",Stage!I342)-1))+VALUE(TRIM(MID(Stage!I342,FIND("|",SUBSTITUTE(Stage!I342,",","|",LEN(Stage!I342)-LEN(SUBSTITUTE(Stage!I342,",",""))))+1,100))))/2)</f>
        <v>0.3</v>
      </c>
      <c r="G317" s="119">
        <f>IF(ISERROR(FIND(",",Stage!J342)),VALUE(Stage!J342),VALUE(LEFT(Stage!J342,FIND(",",Stage!J342)-1)))</f>
        <v>34</v>
      </c>
      <c r="H317" s="119">
        <f>IF(Stage!K342="",0,LEN(TRIM(Stage!K342))-LEN(SUBSTITUTE(TRIM(Stage!K342),",",""))+1)</f>
        <v>4</v>
      </c>
      <c r="I317" s="119">
        <f>Stage!O342+Stage!P342+Stage!N342+Stage!Q342+Stage!M342</f>
        <v>4</v>
      </c>
      <c r="J317" s="119">
        <f>IF(Stage!F342=0,0,I317/Stage!F342)</f>
        <v>2.3529411764705882E-2</v>
      </c>
      <c r="K317" s="120">
        <f t="shared" si="12"/>
        <v>44.480803254859552</v>
      </c>
      <c r="L317" s="120">
        <f t="shared" si="14"/>
        <v>38.084343158571656</v>
      </c>
      <c r="M317" s="119" t="str">
        <f t="shared" si="13"/>
        <v>보통</v>
      </c>
    </row>
    <row r="318" spans="1:13" ht="15.95" customHeight="1" x14ac:dyDescent="0.3">
      <c r="A318" s="117">
        <v>305</v>
      </c>
      <c r="B318" s="117" t="str">
        <f>Stage!C343</f>
        <v>N 305</v>
      </c>
      <c r="C318" s="117">
        <f>Stage!F343</f>
        <v>150</v>
      </c>
      <c r="D318" s="117">
        <f>IF(Stage!G343="",0,LEN(TRIM(Stage!G343))-LEN(SUBSTITUTE(TRIM(Stage!G343),",",""))+1)</f>
        <v>3</v>
      </c>
      <c r="E318" s="117">
        <f>IF(ISERROR(FIND(",",Stage!H343)),VALUE(Stage!H343),(VALUE(LEFT(Stage!H343,FIND(",",Stage!H343)-1))+VALUE(TRIM(MID(Stage!H343,FIND("|",SUBSTITUTE(Stage!H343,",","|",LEN(Stage!H343)-LEN(SUBSTITUTE(Stage!H343,",",""))))+1,100))))/2)</f>
        <v>2.5</v>
      </c>
      <c r="F318" s="117">
        <f>IF(ISERROR(FIND(",",Stage!I343)),VALUE(Stage!I343),(VALUE(LEFT(Stage!I343,FIND(",",Stage!I343)-1))+VALUE(TRIM(MID(Stage!I343,FIND("|",SUBSTITUTE(Stage!I343,",","|",LEN(Stage!I343)-LEN(SUBSTITUTE(Stage!I343,",",""))))+1,100))))/2)</f>
        <v>0.4</v>
      </c>
      <c r="G318" s="117">
        <f>IF(ISERROR(FIND(",",Stage!J343)),VALUE(Stage!J343),VALUE(LEFT(Stage!J343,FIND(",",Stage!J343)-1)))</f>
        <v>37</v>
      </c>
      <c r="H318" s="117">
        <f>IF(Stage!K343="",0,LEN(TRIM(Stage!K343))-LEN(SUBSTITUTE(TRIM(Stage!K343),",",""))+1)</f>
        <v>3</v>
      </c>
      <c r="I318" s="117">
        <f>Stage!O343+Stage!P343+Stage!N343+Stage!Q343+Stage!M343</f>
        <v>1</v>
      </c>
      <c r="J318" s="117">
        <f>IF(Stage!F343=0,0,I318/Stage!F343)</f>
        <v>6.6666666666666671E-3</v>
      </c>
      <c r="K318" s="118">
        <f t="shared" si="12"/>
        <v>36.845448355961388</v>
      </c>
      <c r="L318" s="118">
        <f t="shared" si="14"/>
        <v>39.963192510715679</v>
      </c>
      <c r="M318" s="117" t="str">
        <f t="shared" si="13"/>
        <v>보통</v>
      </c>
    </row>
    <row r="319" spans="1:13" ht="15.95" customHeight="1" x14ac:dyDescent="0.3">
      <c r="A319" s="119">
        <v>306</v>
      </c>
      <c r="B319" s="119" t="str">
        <f>Stage!C344</f>
        <v>N 306</v>
      </c>
      <c r="C319" s="119">
        <f>Stage!F344</f>
        <v>125</v>
      </c>
      <c r="D319" s="119">
        <f>IF(Stage!G344="",0,LEN(TRIM(Stage!G344))-LEN(SUBSTITUTE(TRIM(Stage!G344),",",""))+1)</f>
        <v>3</v>
      </c>
      <c r="E319" s="119">
        <f>IF(ISERROR(FIND(",",Stage!H344)),VALUE(Stage!H344),(VALUE(LEFT(Stage!H344,FIND(",",Stage!H344)-1))+VALUE(TRIM(MID(Stage!H344,FIND("|",SUBSTITUTE(Stage!H344,",","|",LEN(Stage!H344)-LEN(SUBSTITUTE(Stage!H344,",",""))))+1,100))))/2)</f>
        <v>2</v>
      </c>
      <c r="F319" s="119">
        <f>IF(ISERROR(FIND(",",Stage!I344)),VALUE(Stage!I344),(VALUE(LEFT(Stage!I344,FIND(",",Stage!I344)-1))+VALUE(TRIM(MID(Stage!I344,FIND("|",SUBSTITUTE(Stage!I344,",","|",LEN(Stage!I344)-LEN(SUBSTITUTE(Stage!I344,",",""))))+1,100))))/2)</f>
        <v>0.5</v>
      </c>
      <c r="G319" s="119">
        <f>IF(ISERROR(FIND(",",Stage!J344)),VALUE(Stage!J344),VALUE(LEFT(Stage!J344,FIND(",",Stage!J344)-1)))</f>
        <v>31</v>
      </c>
      <c r="H319" s="119">
        <f>IF(Stage!K344="",0,LEN(TRIM(Stage!K344))-LEN(SUBSTITUTE(TRIM(Stage!K344),",",""))+1)</f>
        <v>3</v>
      </c>
      <c r="I319" s="119">
        <f>Stage!O344+Stage!P344+Stage!N344+Stage!Q344+Stage!M344</f>
        <v>0</v>
      </c>
      <c r="J319" s="119">
        <f>IF(Stage!F344=0,0,I319/Stage!F344)</f>
        <v>0</v>
      </c>
      <c r="K319" s="120">
        <f t="shared" si="12"/>
        <v>31.088950298369983</v>
      </c>
      <c r="L319" s="120">
        <f t="shared" si="14"/>
        <v>41.252546147935512</v>
      </c>
      <c r="M319" s="119" t="str">
        <f t="shared" si="13"/>
        <v>보통</v>
      </c>
    </row>
    <row r="320" spans="1:13" ht="15.95" customHeight="1" x14ac:dyDescent="0.3">
      <c r="A320" s="117">
        <v>307</v>
      </c>
      <c r="B320" s="117" t="str">
        <f>Stage!C345</f>
        <v>N 307</v>
      </c>
      <c r="C320" s="117">
        <f>Stage!F345</f>
        <v>190</v>
      </c>
      <c r="D320" s="117">
        <f>IF(Stage!G345="",0,LEN(TRIM(Stage!G345))-LEN(SUBSTITUTE(TRIM(Stage!G345),",",""))+1)</f>
        <v>3</v>
      </c>
      <c r="E320" s="117">
        <f>IF(ISERROR(FIND(",",Stage!H345)),VALUE(Stage!H345),(VALUE(LEFT(Stage!H345,FIND(",",Stage!H345)-1))+VALUE(TRIM(MID(Stage!H345,FIND("|",SUBSTITUTE(Stage!H345,",","|",LEN(Stage!H345)-LEN(SUBSTITUTE(Stage!H345,",",""))))+1,100))))/2)</f>
        <v>3</v>
      </c>
      <c r="F320" s="117">
        <f>IF(ISERROR(FIND(",",Stage!I345)),VALUE(Stage!I345),(VALUE(LEFT(Stage!I345,FIND(",",Stage!I345)-1))+VALUE(TRIM(MID(Stage!I345,FIND("|",SUBSTITUTE(Stage!I345,",","|",LEN(Stage!I345)-LEN(SUBSTITUTE(Stage!I345,",",""))))+1,100))))/2)</f>
        <v>0.2</v>
      </c>
      <c r="G320" s="117">
        <f>IF(ISERROR(FIND(",",Stage!J345)),VALUE(Stage!J345),VALUE(LEFT(Stage!J345,FIND(",",Stage!J345)-1)))</f>
        <v>38</v>
      </c>
      <c r="H320" s="117">
        <f>IF(Stage!K345="",0,LEN(TRIM(Stage!K345))-LEN(SUBSTITUTE(TRIM(Stage!K345),",",""))+1)</f>
        <v>4</v>
      </c>
      <c r="I320" s="117">
        <f>Stage!O345+Stage!P345+Stage!N345+Stage!Q345+Stage!M345</f>
        <v>8</v>
      </c>
      <c r="J320" s="117">
        <f>IF(Stage!F345=0,0,I320/Stage!F345)</f>
        <v>4.2105263157894736E-2</v>
      </c>
      <c r="K320" s="118">
        <f t="shared" si="12"/>
        <v>48.190914628876648</v>
      </c>
      <c r="L320" s="118">
        <f t="shared" si="14"/>
        <v>38.658279845956351</v>
      </c>
      <c r="M320" s="117" t="str">
        <f t="shared" si="13"/>
        <v>어려움</v>
      </c>
    </row>
    <row r="321" spans="1:13" ht="15.95" customHeight="1" x14ac:dyDescent="0.3">
      <c r="A321" s="119">
        <v>308</v>
      </c>
      <c r="B321" s="119" t="str">
        <f>Stage!C346</f>
        <v>N 308</v>
      </c>
      <c r="C321" s="119">
        <f>Stage!F346</f>
        <v>180</v>
      </c>
      <c r="D321" s="119">
        <f>IF(Stage!G346="",0,LEN(TRIM(Stage!G346))-LEN(SUBSTITUTE(TRIM(Stage!G346),",",""))+1)</f>
        <v>3</v>
      </c>
      <c r="E321" s="119">
        <f>IF(ISERROR(FIND(",",Stage!H346)),VALUE(Stage!H346),(VALUE(LEFT(Stage!H346,FIND(",",Stage!H346)-1))+VALUE(TRIM(MID(Stage!H346,FIND("|",SUBSTITUTE(Stage!H346,",","|",LEN(Stage!H346)-LEN(SUBSTITUTE(Stage!H346,",",""))))+1,100))))/2)</f>
        <v>3</v>
      </c>
      <c r="F321" s="119">
        <f>IF(ISERROR(FIND(",",Stage!I346)),VALUE(Stage!I346),(VALUE(LEFT(Stage!I346,FIND(",",Stage!I346)-1))+VALUE(TRIM(MID(Stage!I346,FIND("|",SUBSTITUTE(Stage!I346,",","|",LEN(Stage!I346)-LEN(SUBSTITUTE(Stage!I346,",",""))))+1,100))))/2)</f>
        <v>0.3</v>
      </c>
      <c r="G321" s="119">
        <f>IF(ISERROR(FIND(",",Stage!J346)),VALUE(Stage!J346),VALUE(LEFT(Stage!J346,FIND(",",Stage!J346)-1)))</f>
        <v>36</v>
      </c>
      <c r="H321" s="119">
        <f>IF(Stage!K346="",0,LEN(TRIM(Stage!K346))-LEN(SUBSTITUTE(TRIM(Stage!K346),",",""))+1)</f>
        <v>4</v>
      </c>
      <c r="I321" s="119">
        <f>Stage!O346+Stage!P346+Stage!N346+Stage!Q346+Stage!M346</f>
        <v>6</v>
      </c>
      <c r="J321" s="119">
        <f>IF(Stage!F346=0,0,I321/Stage!F346)</f>
        <v>3.3333333333333333E-2</v>
      </c>
      <c r="K321" s="120">
        <f t="shared" si="12"/>
        <v>45.65661420160999</v>
      </c>
      <c r="L321" s="120">
        <f t="shared" si="14"/>
        <v>39.658222320078814</v>
      </c>
      <c r="M321" s="119" t="str">
        <f t="shared" si="13"/>
        <v>어려움</v>
      </c>
    </row>
    <row r="322" spans="1:13" ht="15.95" customHeight="1" x14ac:dyDescent="0.3">
      <c r="A322" s="117">
        <v>309</v>
      </c>
      <c r="B322" s="117" t="str">
        <f>Stage!C347</f>
        <v>N 309</v>
      </c>
      <c r="C322" s="117">
        <f>Stage!F347</f>
        <v>130</v>
      </c>
      <c r="D322" s="117">
        <f>IF(Stage!G347="",0,LEN(TRIM(Stage!G347))-LEN(SUBSTITUTE(TRIM(Stage!G347),",",""))+1)</f>
        <v>3</v>
      </c>
      <c r="E322" s="117">
        <f>IF(ISERROR(FIND(",",Stage!H347)),VALUE(Stage!H347),(VALUE(LEFT(Stage!H347,FIND(",",Stage!H347)-1))+VALUE(TRIM(MID(Stage!H347,FIND("|",SUBSTITUTE(Stage!H347,",","|",LEN(Stage!H347)-LEN(SUBSTITUTE(Stage!H347,",",""))))+1,100))))/2)</f>
        <v>2</v>
      </c>
      <c r="F322" s="117">
        <f>IF(ISERROR(FIND(",",Stage!I347)),VALUE(Stage!I347),(VALUE(LEFT(Stage!I347,FIND(",",Stage!I347)-1))+VALUE(TRIM(MID(Stage!I347,FIND("|",SUBSTITUTE(Stage!I347,",","|",LEN(Stage!I347)-LEN(SUBSTITUTE(Stage!I347,",",""))))+1,100))))/2)</f>
        <v>0.5</v>
      </c>
      <c r="G322" s="117">
        <f>IF(ISERROR(FIND(",",Stage!J347)),VALUE(Stage!J347),VALUE(LEFT(Stage!J347,FIND(",",Stage!J347)-1)))</f>
        <v>32</v>
      </c>
      <c r="H322" s="117">
        <f>IF(Stage!K347="",0,LEN(TRIM(Stage!K347))-LEN(SUBSTITUTE(TRIM(Stage!K347),",",""))+1)</f>
        <v>3</v>
      </c>
      <c r="I322" s="117">
        <f>Stage!O347+Stage!P347+Stage!N347+Stage!Q347+Stage!M347</f>
        <v>0</v>
      </c>
      <c r="J322" s="117">
        <f>IF(Stage!F347=0,0,I322/Stage!F347)</f>
        <v>0</v>
      </c>
      <c r="K322" s="118">
        <f t="shared" si="12"/>
        <v>31.509471744963758</v>
      </c>
      <c r="L322" s="118">
        <f t="shared" si="14"/>
        <v>43.334885382275935</v>
      </c>
      <c r="M322" s="117" t="str">
        <f t="shared" si="13"/>
        <v>보통</v>
      </c>
    </row>
    <row r="323" spans="1:13" ht="15.95" customHeight="1" x14ac:dyDescent="0.3">
      <c r="A323" s="119">
        <v>310</v>
      </c>
      <c r="B323" s="119" t="str">
        <f>Stage!C348</f>
        <v>N 310</v>
      </c>
      <c r="C323" s="119">
        <f>Stage!F348</f>
        <v>165</v>
      </c>
      <c r="D323" s="119">
        <f>IF(Stage!G348="",0,LEN(TRIM(Stage!G348))-LEN(SUBSTITUTE(TRIM(Stage!G348),",",""))+1)</f>
        <v>3</v>
      </c>
      <c r="E323" s="119">
        <f>IF(ISERROR(FIND(",",Stage!H348)),VALUE(Stage!H348),(VALUE(LEFT(Stage!H348,FIND(",",Stage!H348)-1))+VALUE(TRIM(MID(Stage!H348,FIND("|",SUBSTITUTE(Stage!H348,",","|",LEN(Stage!H348)-LEN(SUBSTITUTE(Stage!H348,",",""))))+1,100))))/2)</f>
        <v>2.5</v>
      </c>
      <c r="F323" s="119">
        <f>IF(ISERROR(FIND(",",Stage!I348)),VALUE(Stage!I348),(VALUE(LEFT(Stage!I348,FIND(",",Stage!I348)-1))+VALUE(TRIM(MID(Stage!I348,FIND("|",SUBSTITUTE(Stage!I348,",","|",LEN(Stage!I348)-LEN(SUBSTITUTE(Stage!I348,",",""))))+1,100))))/2)</f>
        <v>0.3</v>
      </c>
      <c r="G323" s="119">
        <f>IF(ISERROR(FIND(",",Stage!J348)),VALUE(Stage!J348),VALUE(LEFT(Stage!J348,FIND(",",Stage!J348)-1)))</f>
        <v>33</v>
      </c>
      <c r="H323" s="119">
        <f>IF(Stage!K348="",0,LEN(TRIM(Stage!K348))-LEN(SUBSTITUTE(TRIM(Stage!K348),",",""))+1)</f>
        <v>4</v>
      </c>
      <c r="I323" s="119">
        <f>Stage!O348+Stage!P348+Stage!N348+Stage!Q348+Stage!M348</f>
        <v>3</v>
      </c>
      <c r="J323" s="119">
        <f>IF(Stage!F348=0,0,I323/Stage!F348)</f>
        <v>1.8181818181818181E-2</v>
      </c>
      <c r="K323" s="120">
        <f t="shared" si="12"/>
        <v>41.845160726573674</v>
      </c>
      <c r="L323" s="120">
        <f t="shared" si="14"/>
        <v>43.591155578371719</v>
      </c>
      <c r="M323" s="119" t="str">
        <f t="shared" si="13"/>
        <v>보통</v>
      </c>
    </row>
    <row r="324" spans="1:13" ht="15.95" customHeight="1" x14ac:dyDescent="0.3">
      <c r="A324" s="117">
        <v>311</v>
      </c>
      <c r="B324" s="117" t="str">
        <f>Stage!C349</f>
        <v>N 311</v>
      </c>
      <c r="C324" s="117">
        <f>Stage!F349</f>
        <v>200</v>
      </c>
      <c r="D324" s="117">
        <f>IF(Stage!G349="",0,LEN(TRIM(Stage!G349))-LEN(SUBSTITUTE(TRIM(Stage!G349),",",""))+1)</f>
        <v>3</v>
      </c>
      <c r="E324" s="117">
        <f>IF(ISERROR(FIND(",",Stage!H349)),VALUE(Stage!H349),(VALUE(LEFT(Stage!H349,FIND(",",Stage!H349)-1))+VALUE(TRIM(MID(Stage!H349,FIND("|",SUBSTITUTE(Stage!H349,",","|",LEN(Stage!H349)-LEN(SUBSTITUTE(Stage!H349,",",""))))+1,100))))/2)</f>
        <v>3</v>
      </c>
      <c r="F324" s="117">
        <f>IF(ISERROR(FIND(",",Stage!I349)),VALUE(Stage!I349),(VALUE(LEFT(Stage!I349,FIND(",",Stage!I349)-1))+VALUE(TRIM(MID(Stage!I349,FIND("|",SUBSTITUTE(Stage!I349,",","|",LEN(Stage!I349)-LEN(SUBSTITUTE(Stage!I349,",",""))))+1,100))))/2)</f>
        <v>0.2</v>
      </c>
      <c r="G324" s="117">
        <f>IF(ISERROR(FIND(",",Stage!J349)),VALUE(Stage!J349),VALUE(LEFT(Stage!J349,FIND(",",Stage!J349)-1)))</f>
        <v>40</v>
      </c>
      <c r="H324" s="117">
        <f>IF(Stage!K349="",0,LEN(TRIM(Stage!K349))-LEN(SUBSTITUTE(TRIM(Stage!K349),",",""))+1)</f>
        <v>4</v>
      </c>
      <c r="I324" s="117">
        <f>Stage!O349+Stage!P349+Stage!N349+Stage!Q349+Stage!M349</f>
        <v>11</v>
      </c>
      <c r="J324" s="117">
        <f>IF(Stage!F349=0,0,I324/Stage!F349)</f>
        <v>5.5E-2</v>
      </c>
      <c r="K324" s="118">
        <f t="shared" si="12"/>
        <v>49.472265609355603</v>
      </c>
      <c r="L324" s="118">
        <f t="shared" si="14"/>
        <v>43.355993389021634</v>
      </c>
      <c r="M324" s="117" t="str">
        <f t="shared" si="13"/>
        <v>어려움</v>
      </c>
    </row>
    <row r="325" spans="1:13" ht="15.95" customHeight="1" x14ac:dyDescent="0.3">
      <c r="A325" s="119">
        <v>312</v>
      </c>
      <c r="B325" s="119" t="str">
        <f>Stage!C350</f>
        <v>N 312</v>
      </c>
      <c r="C325" s="119">
        <f>Stage!F350</f>
        <v>200</v>
      </c>
      <c r="D325" s="119">
        <f>IF(Stage!G350="",0,LEN(TRIM(Stage!G350))-LEN(SUBSTITUTE(TRIM(Stage!G350),",",""))+1)</f>
        <v>3</v>
      </c>
      <c r="E325" s="119">
        <f>IF(ISERROR(FIND(",",Stage!H350)),VALUE(Stage!H350),(VALUE(LEFT(Stage!H350,FIND(",",Stage!H350)-1))+VALUE(TRIM(MID(Stage!H350,FIND("|",SUBSTITUTE(Stage!H350,",","|",LEN(Stage!H350)-LEN(SUBSTITUTE(Stage!H350,",",""))))+1,100))))/2)</f>
        <v>3</v>
      </c>
      <c r="F325" s="119">
        <f>IF(ISERROR(FIND(",",Stage!I350)),VALUE(Stage!I350),(VALUE(LEFT(Stage!I350,FIND(",",Stage!I350)-1))+VALUE(TRIM(MID(Stage!I350,FIND("|",SUBSTITUTE(Stage!I350,",","|",LEN(Stage!I350)-LEN(SUBSTITUTE(Stage!I350,",",""))))+1,100))))/2)</f>
        <v>0.2</v>
      </c>
      <c r="G325" s="119">
        <f>IF(ISERROR(FIND(",",Stage!J350)),VALUE(Stage!J350),VALUE(LEFT(Stage!J350,FIND(",",Stage!J350)-1)))</f>
        <v>40</v>
      </c>
      <c r="H325" s="119">
        <f>IF(Stage!K350="",0,LEN(TRIM(Stage!K350))-LEN(SUBSTITUTE(TRIM(Stage!K350),",",""))+1)</f>
        <v>4</v>
      </c>
      <c r="I325" s="119">
        <f>Stage!O350+Stage!P350+Stage!N350+Stage!Q350+Stage!M350</f>
        <v>11</v>
      </c>
      <c r="J325" s="119">
        <f>IF(Stage!F350=0,0,I325/Stage!F350)</f>
        <v>5.5E-2</v>
      </c>
      <c r="K325" s="120">
        <f t="shared" si="12"/>
        <v>49.472265609355603</v>
      </c>
      <c r="L325" s="120">
        <f t="shared" si="14"/>
        <v>45.021478590671677</v>
      </c>
      <c r="M325" s="119" t="str">
        <f t="shared" si="13"/>
        <v>어려움</v>
      </c>
    </row>
    <row r="326" spans="1:13" ht="15.95" customHeight="1" x14ac:dyDescent="0.3">
      <c r="A326" s="117">
        <v>313</v>
      </c>
      <c r="B326" s="117" t="str">
        <f>Stage!C351</f>
        <v>N 313</v>
      </c>
      <c r="C326" s="117">
        <f>Stage!F351</f>
        <v>170</v>
      </c>
      <c r="D326" s="117">
        <f>IF(Stage!G351="",0,LEN(TRIM(Stage!G351))-LEN(SUBSTITUTE(TRIM(Stage!G351),",",""))+1)</f>
        <v>3</v>
      </c>
      <c r="E326" s="117">
        <f>IF(ISERROR(FIND(",",Stage!H351)),VALUE(Stage!H351),(VALUE(LEFT(Stage!H351,FIND(",",Stage!H351)-1))+VALUE(TRIM(MID(Stage!H351,FIND("|",SUBSTITUTE(Stage!H351,",","|",LEN(Stage!H351)-LEN(SUBSTITUTE(Stage!H351,",",""))))+1,100))))/2)</f>
        <v>3</v>
      </c>
      <c r="F326" s="117">
        <f>IF(ISERROR(FIND(",",Stage!I351)),VALUE(Stage!I351),(VALUE(LEFT(Stage!I351,FIND(",",Stage!I351)-1))+VALUE(TRIM(MID(Stage!I351,FIND("|",SUBSTITUTE(Stage!I351,",","|",LEN(Stage!I351)-LEN(SUBSTITUTE(Stage!I351,",",""))))+1,100))))/2)</f>
        <v>0.3</v>
      </c>
      <c r="G326" s="117">
        <f>IF(ISERROR(FIND(",",Stage!J351)),VALUE(Stage!J351),VALUE(LEFT(Stage!J351,FIND(",",Stage!J351)-1)))</f>
        <v>34</v>
      </c>
      <c r="H326" s="117">
        <f>IF(Stage!K351="",0,LEN(TRIM(Stage!K351))-LEN(SUBSTITUTE(TRIM(Stage!K351),",",""))+1)</f>
        <v>4</v>
      </c>
      <c r="I326" s="117">
        <f>Stage!O351+Stage!P351+Stage!N351+Stage!Q351+Stage!M351</f>
        <v>4</v>
      </c>
      <c r="J326" s="117">
        <f>IF(Stage!F351=0,0,I326/Stage!F351)</f>
        <v>2.3529411764705882E-2</v>
      </c>
      <c r="K326" s="118">
        <f t="shared" si="12"/>
        <v>44.480803254859552</v>
      </c>
      <c r="L326" s="118">
        <f t="shared" si="14"/>
        <v>43.639590503989652</v>
      </c>
      <c r="M326" s="117" t="str">
        <f t="shared" si="13"/>
        <v>보통</v>
      </c>
    </row>
    <row r="327" spans="1:13" ht="15.95" customHeight="1" x14ac:dyDescent="0.3">
      <c r="A327" s="119">
        <v>314</v>
      </c>
      <c r="B327" s="119" t="str">
        <f>Stage!C352</f>
        <v>N 314</v>
      </c>
      <c r="C327" s="119">
        <f>Stage!F352</f>
        <v>160</v>
      </c>
      <c r="D327" s="119">
        <f>IF(Stage!G352="",0,LEN(TRIM(Stage!G352))-LEN(SUBSTITUTE(TRIM(Stage!G352),",",""))+1)</f>
        <v>3</v>
      </c>
      <c r="E327" s="119">
        <f>IF(ISERROR(FIND(",",Stage!H352)),VALUE(Stage!H352),(VALUE(LEFT(Stage!H352,FIND(",",Stage!H352)-1))+VALUE(TRIM(MID(Stage!H352,FIND("|",SUBSTITUTE(Stage!H352,",","|",LEN(Stage!H352)-LEN(SUBSTITUTE(Stage!H352,",",""))))+1,100))))/2)</f>
        <v>2.5</v>
      </c>
      <c r="F327" s="119">
        <f>IF(ISERROR(FIND(",",Stage!I352)),VALUE(Stage!I352),(VALUE(LEFT(Stage!I352,FIND(",",Stage!I352)-1))+VALUE(TRIM(MID(Stage!I352,FIND("|",SUBSTITUTE(Stage!I352,",","|",LEN(Stage!I352)-LEN(SUBSTITUTE(Stage!I352,",",""))))+1,100))))/2)</f>
        <v>0.4</v>
      </c>
      <c r="G327" s="119">
        <f>IF(ISERROR(FIND(",",Stage!J352)),VALUE(Stage!J352),VALUE(LEFT(Stage!J352,FIND(",",Stage!J352)-1)))</f>
        <v>32</v>
      </c>
      <c r="H327" s="119">
        <f>IF(Stage!K352="",0,LEN(TRIM(Stage!K352))-LEN(SUBSTITUTE(TRIM(Stage!K352),",",""))+1)</f>
        <v>4</v>
      </c>
      <c r="I327" s="119">
        <f>Stage!O352+Stage!P352+Stage!N352+Stage!Q352+Stage!M352</f>
        <v>2</v>
      </c>
      <c r="J327" s="119">
        <f>IF(Stage!F352=0,0,I327/Stage!F352)</f>
        <v>1.2500000000000001E-2</v>
      </c>
      <c r="K327" s="120">
        <f t="shared" si="12"/>
        <v>39.836897753213982</v>
      </c>
      <c r="L327" s="120">
        <f t="shared" si="14"/>
        <v>42.641298033090443</v>
      </c>
      <c r="M327" s="119" t="str">
        <f t="shared" si="13"/>
        <v>보통</v>
      </c>
    </row>
    <row r="328" spans="1:13" ht="15.95" customHeight="1" x14ac:dyDescent="0.3">
      <c r="A328" s="117">
        <v>315</v>
      </c>
      <c r="B328" s="117" t="str">
        <f>Stage!C353</f>
        <v>N 315</v>
      </c>
      <c r="C328" s="117">
        <f>Stage!F353</f>
        <v>130</v>
      </c>
      <c r="D328" s="117">
        <f>IF(Stage!G353="",0,LEN(TRIM(Stage!G353))-LEN(SUBSTITUTE(TRIM(Stage!G353),",",""))+1)</f>
        <v>3</v>
      </c>
      <c r="E328" s="117">
        <f>IF(ISERROR(FIND(",",Stage!H353)),VALUE(Stage!H353),(VALUE(LEFT(Stage!H353,FIND(",",Stage!H353)-1))+VALUE(TRIM(MID(Stage!H353,FIND("|",SUBSTITUTE(Stage!H353,",","|",LEN(Stage!H353)-LEN(SUBSTITUTE(Stage!H353,",",""))))+1,100))))/2)</f>
        <v>2.5</v>
      </c>
      <c r="F328" s="117">
        <f>IF(ISERROR(FIND(",",Stage!I353)),VALUE(Stage!I353),(VALUE(LEFT(Stage!I353,FIND(",",Stage!I353)-1))+VALUE(TRIM(MID(Stage!I353,FIND("|",SUBSTITUTE(Stage!I353,",","|",LEN(Stage!I353)-LEN(SUBSTITUTE(Stage!I353,",",""))))+1,100))))/2)</f>
        <v>0.4</v>
      </c>
      <c r="G328" s="117">
        <f>IF(ISERROR(FIND(",",Stage!J353)),VALUE(Stage!J353),VALUE(LEFT(Stage!J353,FIND(",",Stage!J353)-1)))</f>
        <v>32</v>
      </c>
      <c r="H328" s="117">
        <f>IF(Stage!K353="",0,LEN(TRIM(Stage!K353))-LEN(SUBSTITUTE(TRIM(Stage!K353),",",""))+1)</f>
        <v>3</v>
      </c>
      <c r="I328" s="117">
        <f>Stage!O353+Stage!P353+Stage!N353+Stage!Q353+Stage!M353</f>
        <v>0</v>
      </c>
      <c r="J328" s="117">
        <f>IF(Stage!F353=0,0,I328/Stage!F353)</f>
        <v>0</v>
      </c>
      <c r="K328" s="118">
        <f t="shared" si="12"/>
        <v>34.93572029316352</v>
      </c>
      <c r="L328" s="118">
        <f t="shared" si="14"/>
        <v>42.641298033090436</v>
      </c>
      <c r="M328" s="117" t="str">
        <f t="shared" si="13"/>
        <v>보통</v>
      </c>
    </row>
    <row r="329" spans="1:13" ht="15.95" customHeight="1" x14ac:dyDescent="0.3">
      <c r="A329" s="119">
        <v>316</v>
      </c>
      <c r="B329" s="119" t="str">
        <f>Stage!C354</f>
        <v>N 316</v>
      </c>
      <c r="C329" s="119">
        <f>Stage!F354</f>
        <v>170</v>
      </c>
      <c r="D329" s="119">
        <f>IF(Stage!G354="",0,LEN(TRIM(Stage!G354))-LEN(SUBSTITUTE(TRIM(Stage!G354),",",""))+1)</f>
        <v>3</v>
      </c>
      <c r="E329" s="119">
        <f>IF(ISERROR(FIND(",",Stage!H354)),VALUE(Stage!H354),(VALUE(LEFT(Stage!H354,FIND(",",Stage!H354)-1))+VALUE(TRIM(MID(Stage!H354,FIND("|",SUBSTITUTE(Stage!H354,",","|",LEN(Stage!H354)-LEN(SUBSTITUTE(Stage!H354,",",""))))+1,100))))/2)</f>
        <v>3</v>
      </c>
      <c r="F329" s="119">
        <f>IF(ISERROR(FIND(",",Stage!I354)),VALUE(Stage!I354),(VALUE(LEFT(Stage!I354,FIND(",",Stage!I354)-1))+VALUE(TRIM(MID(Stage!I354,FIND("|",SUBSTITUTE(Stage!I354,",","|",LEN(Stage!I354)-LEN(SUBSTITUTE(Stage!I354,",",""))))+1,100))))/2)</f>
        <v>0.3</v>
      </c>
      <c r="G329" s="119">
        <f>IF(ISERROR(FIND(",",Stage!J354)),VALUE(Stage!J354),VALUE(LEFT(Stage!J354,FIND(",",Stage!J354)-1)))</f>
        <v>34</v>
      </c>
      <c r="H329" s="119">
        <f>IF(Stage!K354="",0,LEN(TRIM(Stage!K354))-LEN(SUBSTITUTE(TRIM(Stage!K354),",",""))+1)</f>
        <v>4</v>
      </c>
      <c r="I329" s="119">
        <f>Stage!O354+Stage!P354+Stage!N354+Stage!Q354+Stage!M354</f>
        <v>4</v>
      </c>
      <c r="J329" s="119">
        <f>IF(Stage!F354=0,0,I329/Stage!F354)</f>
        <v>2.3529411764705882E-2</v>
      </c>
      <c r="K329" s="120">
        <f t="shared" si="12"/>
        <v>44.480803254859552</v>
      </c>
      <c r="L329" s="120">
        <f t="shared" si="14"/>
        <v>43.639590503989652</v>
      </c>
      <c r="M329" s="119" t="str">
        <f t="shared" si="13"/>
        <v>보통</v>
      </c>
    </row>
    <row r="330" spans="1:13" ht="15.95" customHeight="1" x14ac:dyDescent="0.3">
      <c r="A330" s="117">
        <v>317</v>
      </c>
      <c r="B330" s="117" t="str">
        <f>Stage!C355</f>
        <v>N 317</v>
      </c>
      <c r="C330" s="117">
        <f>Stage!F355</f>
        <v>200</v>
      </c>
      <c r="D330" s="117">
        <f>IF(Stage!G355="",0,LEN(TRIM(Stage!G355))-LEN(SUBSTITUTE(TRIM(Stage!G355),",",""))+1)</f>
        <v>3</v>
      </c>
      <c r="E330" s="117">
        <f>IF(ISERROR(FIND(",",Stage!H355)),VALUE(Stage!H355),(VALUE(LEFT(Stage!H355,FIND(",",Stage!H355)-1))+VALUE(TRIM(MID(Stage!H355,FIND("|",SUBSTITUTE(Stage!H355,",","|",LEN(Stage!H355)-LEN(SUBSTITUTE(Stage!H355,",",""))))+1,100))))/2)</f>
        <v>3</v>
      </c>
      <c r="F330" s="117">
        <f>IF(ISERROR(FIND(",",Stage!I355)),VALUE(Stage!I355),(VALUE(LEFT(Stage!I355,FIND(",",Stage!I355)-1))+VALUE(TRIM(MID(Stage!I355,FIND("|",SUBSTITUTE(Stage!I355,",","|",LEN(Stage!I355)-LEN(SUBSTITUTE(Stage!I355,",",""))))+1,100))))/2)</f>
        <v>0.2</v>
      </c>
      <c r="G330" s="117">
        <f>IF(ISERROR(FIND(",",Stage!J355)),VALUE(Stage!J355),VALUE(LEFT(Stage!J355,FIND(",",Stage!J355)-1)))</f>
        <v>40</v>
      </c>
      <c r="H330" s="117">
        <f>IF(Stage!K355="",0,LEN(TRIM(Stage!K355))-LEN(SUBSTITUTE(TRIM(Stage!K355),",",""))+1)</f>
        <v>4</v>
      </c>
      <c r="I330" s="117">
        <f>Stage!O355+Stage!P355+Stage!N355+Stage!Q355+Stage!M355</f>
        <v>11</v>
      </c>
      <c r="J330" s="117">
        <f>IF(Stage!F355=0,0,I330/Stage!F355)</f>
        <v>5.5E-2</v>
      </c>
      <c r="K330" s="118">
        <f t="shared" si="12"/>
        <v>49.472265609355603</v>
      </c>
      <c r="L330" s="118">
        <f t="shared" si="14"/>
        <v>45.346337396452085</v>
      </c>
      <c r="M330" s="117" t="str">
        <f t="shared" si="13"/>
        <v>어려움</v>
      </c>
    </row>
    <row r="331" spans="1:13" ht="15.95" customHeight="1" x14ac:dyDescent="0.3">
      <c r="A331" s="119">
        <v>318</v>
      </c>
      <c r="B331" s="119" t="str">
        <f>Stage!C356</f>
        <v>N 318</v>
      </c>
      <c r="C331" s="119">
        <f>Stage!F356</f>
        <v>200</v>
      </c>
      <c r="D331" s="119">
        <f>IF(Stage!G356="",0,LEN(TRIM(Stage!G356))-LEN(SUBSTITUTE(TRIM(Stage!G356),",",""))+1)</f>
        <v>3</v>
      </c>
      <c r="E331" s="119">
        <f>IF(ISERROR(FIND(",",Stage!H356)),VALUE(Stage!H356),(VALUE(LEFT(Stage!H356,FIND(",",Stage!H356)-1))+VALUE(TRIM(MID(Stage!H356,FIND("|",SUBSTITUTE(Stage!H356,",","|",LEN(Stage!H356)-LEN(SUBSTITUTE(Stage!H356,",",""))))+1,100))))/2)</f>
        <v>3</v>
      </c>
      <c r="F331" s="119">
        <f>IF(ISERROR(FIND(",",Stage!I356)),VALUE(Stage!I356),(VALUE(LEFT(Stage!I356,FIND(",",Stage!I356)-1))+VALUE(TRIM(MID(Stage!I356,FIND("|",SUBSTITUTE(Stage!I356,",","|",LEN(Stage!I356)-LEN(SUBSTITUTE(Stage!I356,",",""))))+1,100))))/2)</f>
        <v>0.2</v>
      </c>
      <c r="G331" s="119">
        <f>IF(ISERROR(FIND(",",Stage!J356)),VALUE(Stage!J356),VALUE(LEFT(Stage!J356,FIND(",",Stage!J356)-1)))</f>
        <v>40</v>
      </c>
      <c r="H331" s="119">
        <f>IF(Stage!K356="",0,LEN(TRIM(Stage!K356))-LEN(SUBSTITUTE(TRIM(Stage!K356),",",""))+1)</f>
        <v>4</v>
      </c>
      <c r="I331" s="119">
        <f>Stage!O356+Stage!P356+Stage!N356+Stage!Q356+Stage!M356</f>
        <v>11</v>
      </c>
      <c r="J331" s="119">
        <f>IF(Stage!F356=0,0,I331/Stage!F356)</f>
        <v>5.5E-2</v>
      </c>
      <c r="K331" s="120">
        <f t="shared" si="12"/>
        <v>49.472265609355603</v>
      </c>
      <c r="L331" s="120">
        <f t="shared" si="14"/>
        <v>47.884128581846312</v>
      </c>
      <c r="M331" s="119" t="str">
        <f t="shared" si="13"/>
        <v>어려움</v>
      </c>
    </row>
    <row r="332" spans="1:13" ht="15.95" customHeight="1" x14ac:dyDescent="0.3">
      <c r="A332" s="117">
        <v>319</v>
      </c>
      <c r="B332" s="117" t="str">
        <f>Stage!C357</f>
        <v>N 319</v>
      </c>
      <c r="C332" s="117">
        <f>Stage!F357</f>
        <v>190</v>
      </c>
      <c r="D332" s="117">
        <f>IF(Stage!G357="",0,LEN(TRIM(Stage!G357))-LEN(SUBSTITUTE(TRIM(Stage!G357),",",""))+1)</f>
        <v>3</v>
      </c>
      <c r="E332" s="117">
        <f>IF(ISERROR(FIND(",",Stage!H357)),VALUE(Stage!H357),(VALUE(LEFT(Stage!H357,FIND(",",Stage!H357)-1))+VALUE(TRIM(MID(Stage!H357,FIND("|",SUBSTITUTE(Stage!H357,",","|",LEN(Stage!H357)-LEN(SUBSTITUTE(Stage!H357,",",""))))+1,100))))/2)</f>
        <v>3</v>
      </c>
      <c r="F332" s="117">
        <f>IF(ISERROR(FIND(",",Stage!I357)),VALUE(Stage!I357),(VALUE(LEFT(Stage!I357,FIND(",",Stage!I357)-1))+VALUE(TRIM(MID(Stage!I357,FIND("|",SUBSTITUTE(Stage!I357,",","|",LEN(Stage!I357)-LEN(SUBSTITUTE(Stage!I357,",",""))))+1,100))))/2)</f>
        <v>0.2</v>
      </c>
      <c r="G332" s="117">
        <f>IF(ISERROR(FIND(",",Stage!J357)),VALUE(Stage!J357),VALUE(LEFT(Stage!J357,FIND(",",Stage!J357)-1)))</f>
        <v>38</v>
      </c>
      <c r="H332" s="117">
        <f>IF(Stage!K357="",0,LEN(TRIM(Stage!K357))-LEN(SUBSTITUTE(TRIM(Stage!K357),",",""))+1)</f>
        <v>4</v>
      </c>
      <c r="I332" s="117">
        <f>Stage!O357+Stage!P357+Stage!N357+Stage!Q357+Stage!M357</f>
        <v>9</v>
      </c>
      <c r="J332" s="117">
        <f>IF(Stage!F357=0,0,I332/Stage!F357)</f>
        <v>4.736842105263158E-2</v>
      </c>
      <c r="K332" s="118">
        <f t="shared" si="12"/>
        <v>48.3706322155262</v>
      </c>
      <c r="L332" s="118">
        <f t="shared" si="14"/>
        <v>48.882421052745521</v>
      </c>
      <c r="M332" s="117" t="str">
        <f t="shared" si="13"/>
        <v>어려움</v>
      </c>
    </row>
    <row r="333" spans="1:13" ht="15.95" customHeight="1" x14ac:dyDescent="0.3">
      <c r="A333" s="119">
        <v>320</v>
      </c>
      <c r="B333" s="119" t="str">
        <f>Stage!C358</f>
        <v>N 320</v>
      </c>
      <c r="C333" s="119">
        <f>Stage!F358</f>
        <v>185</v>
      </c>
      <c r="D333" s="119">
        <f>IF(Stage!G358="",0,LEN(TRIM(Stage!G358))-LEN(SUBSTITUTE(TRIM(Stage!G358),",",""))+1)</f>
        <v>3</v>
      </c>
      <c r="E333" s="119">
        <f>IF(ISERROR(FIND(",",Stage!H358)),VALUE(Stage!H358),(VALUE(LEFT(Stage!H358,FIND(",",Stage!H358)-1))+VALUE(TRIM(MID(Stage!H358,FIND("|",SUBSTITUTE(Stage!H358,",","|",LEN(Stage!H358)-LEN(SUBSTITUTE(Stage!H358,",",""))))+1,100))))/2)</f>
        <v>3</v>
      </c>
      <c r="F333" s="119">
        <f>IF(ISERROR(FIND(",",Stage!I358)),VALUE(Stage!I358),(VALUE(LEFT(Stage!I358,FIND(",",Stage!I358)-1))+VALUE(TRIM(MID(Stage!I358,FIND("|",SUBSTITUTE(Stage!I358,",","|",LEN(Stage!I358)-LEN(SUBSTITUTE(Stage!I358,",",""))))+1,100))))/2)</f>
        <v>0.2</v>
      </c>
      <c r="G333" s="119">
        <f>IF(ISERROR(FIND(",",Stage!J358)),VALUE(Stage!J358),VALUE(LEFT(Stage!J358,FIND(",",Stage!J358)-1)))</f>
        <v>37</v>
      </c>
      <c r="H333" s="119">
        <f>IF(Stage!K358="",0,LEN(TRIM(Stage!K358))-LEN(SUBSTITUTE(TRIM(Stage!K358),",",""))+1)</f>
        <v>4</v>
      </c>
      <c r="I333" s="119">
        <f>Stage!O358+Stage!P358+Stage!N358+Stage!Q358+Stage!M358</f>
        <v>7</v>
      </c>
      <c r="J333" s="119">
        <f>IF(Stage!F358=0,0,I333/Stage!F358)</f>
        <v>3.783783783783784E-2</v>
      </c>
      <c r="K333" s="120">
        <f t="shared" si="12"/>
        <v>47.624676220134596</v>
      </c>
      <c r="L333" s="120">
        <f t="shared" si="14"/>
        <v>48.882421052745521</v>
      </c>
      <c r="M333" s="119" t="str">
        <f t="shared" si="13"/>
        <v>어려움</v>
      </c>
    </row>
    <row r="334" spans="1:13" ht="15.95" customHeight="1" x14ac:dyDescent="0.3">
      <c r="A334" s="117">
        <v>321</v>
      </c>
      <c r="B334" s="117" t="str">
        <f>Stage!C359</f>
        <v>N 321</v>
      </c>
      <c r="C334" s="117">
        <f>Stage!F359</f>
        <v>200</v>
      </c>
      <c r="D334" s="117">
        <f>IF(Stage!G359="",0,LEN(TRIM(Stage!G359))-LEN(SUBSTITUTE(TRIM(Stage!G359),",",""))+1)</f>
        <v>3</v>
      </c>
      <c r="E334" s="117">
        <f>IF(ISERROR(FIND(",",Stage!H359)),VALUE(Stage!H359),(VALUE(LEFT(Stage!H359,FIND(",",Stage!H359)-1))+VALUE(TRIM(MID(Stage!H359,FIND("|",SUBSTITUTE(Stage!H359,",","|",LEN(Stage!H359)-LEN(SUBSTITUTE(Stage!H359,",",""))))+1,100))))/2)</f>
        <v>3</v>
      </c>
      <c r="F334" s="117">
        <f>IF(ISERROR(FIND(",",Stage!I359)),VALUE(Stage!I359),(VALUE(LEFT(Stage!I359,FIND(",",Stage!I359)-1))+VALUE(TRIM(MID(Stage!I359,FIND("|",SUBSTITUTE(Stage!I359,",","|",LEN(Stage!I359)-LEN(SUBSTITUTE(Stage!I359,",",""))))+1,100))))/2)</f>
        <v>0.2</v>
      </c>
      <c r="G334" s="117">
        <f>IF(ISERROR(FIND(",",Stage!J359)),VALUE(Stage!J359),VALUE(LEFT(Stage!J359,FIND(",",Stage!J359)-1)))</f>
        <v>40</v>
      </c>
      <c r="H334" s="117">
        <f>IF(Stage!K359="",0,LEN(TRIM(Stage!K359))-LEN(SUBSTITUTE(TRIM(Stage!K359),",",""))+1)</f>
        <v>4</v>
      </c>
      <c r="I334" s="117">
        <f>Stage!O359+Stage!P359+Stage!N359+Stage!Q359+Stage!M359</f>
        <v>11</v>
      </c>
      <c r="J334" s="117">
        <f>IF(Stage!F359=0,0,I334/Stage!F359)</f>
        <v>5.5E-2</v>
      </c>
      <c r="K334" s="118">
        <f t="shared" ref="K334:K397" si="15">(MAX(0,MIN(1,(C334-$E$3)/MAX($F$3-$E$3,0.0001)))*$C$3+MAX(0,MIN(1,(D334-$E$4)/MAX($F$4-$E$4,0.0001)))*$C$4+MAX(0,MIN(1,(E334-$E$5)/MAX($F$5-$E$5,0.0001)))*$C$5+(1-MAX(0,MIN(1,(F334-$E$6)/MAX($F$6-$E$6,0.0001))))*$C$6+(1-MAX(0,MIN(1,(G334-$E$7)/MAX($F$7-$E$7,0.0001))))*$C$7+MAX(0,MIN(1,(H334-$E$8)/MAX($F$8-$E$8,0.0001)))*$C$8+MAX(0,MIN(1,(J334-$E$9)/MAX($F$9-$E$9,0.0001)))*$C$9)/$C$10*100</f>
        <v>49.472265609355603</v>
      </c>
      <c r="L334" s="118">
        <f t="shared" si="14"/>
        <v>47.884128581846312</v>
      </c>
      <c r="M334" s="117" t="str">
        <f t="shared" ref="M334:M397" si="16">IF(K334&lt;25,"쉬움",IF(K334&lt;45,"보통",IF(K334&lt;60,"어려움",IF(K334&lt;75,"매우어려움","극악"))))</f>
        <v>어려움</v>
      </c>
    </row>
    <row r="335" spans="1:13" ht="15.95" customHeight="1" x14ac:dyDescent="0.3">
      <c r="A335" s="119">
        <v>322</v>
      </c>
      <c r="B335" s="119" t="str">
        <f>Stage!C360</f>
        <v>N 322</v>
      </c>
      <c r="C335" s="119">
        <f>Stage!F360</f>
        <v>200</v>
      </c>
      <c r="D335" s="119">
        <f>IF(Stage!G360="",0,LEN(TRIM(Stage!G360))-LEN(SUBSTITUTE(TRIM(Stage!G360),",",""))+1)</f>
        <v>3</v>
      </c>
      <c r="E335" s="119">
        <f>IF(ISERROR(FIND(",",Stage!H360)),VALUE(Stage!H360),(VALUE(LEFT(Stage!H360,FIND(",",Stage!H360)-1))+VALUE(TRIM(MID(Stage!H360,FIND("|",SUBSTITUTE(Stage!H360,",","|",LEN(Stage!H360)-LEN(SUBSTITUTE(Stage!H360,",",""))))+1,100))))/2)</f>
        <v>3</v>
      </c>
      <c r="F335" s="119">
        <f>IF(ISERROR(FIND(",",Stage!I360)),VALUE(Stage!I360),(VALUE(LEFT(Stage!I360,FIND(",",Stage!I360)-1))+VALUE(TRIM(MID(Stage!I360,FIND("|",SUBSTITUTE(Stage!I360,",","|",LEN(Stage!I360)-LEN(SUBSTITUTE(Stage!I360,",",""))))+1,100))))/2)</f>
        <v>0.2</v>
      </c>
      <c r="G335" s="119">
        <f>IF(ISERROR(FIND(",",Stage!J360)),VALUE(Stage!J360),VALUE(LEFT(Stage!J360,FIND(",",Stage!J360)-1)))</f>
        <v>40</v>
      </c>
      <c r="H335" s="119">
        <f>IF(Stage!K360="",0,LEN(TRIM(Stage!K360))-LEN(SUBSTITUTE(TRIM(Stage!K360),",",""))+1)</f>
        <v>4</v>
      </c>
      <c r="I335" s="119">
        <f>Stage!O360+Stage!P360+Stage!N360+Stage!Q360+Stage!M360</f>
        <v>11</v>
      </c>
      <c r="J335" s="119">
        <f>IF(Stage!F360=0,0,I335/Stage!F360)</f>
        <v>5.5E-2</v>
      </c>
      <c r="K335" s="120">
        <f t="shared" si="15"/>
        <v>49.472265609355603</v>
      </c>
      <c r="L335" s="120">
        <f t="shared" si="14"/>
        <v>48.104455260612191</v>
      </c>
      <c r="M335" s="119" t="str">
        <f t="shared" si="16"/>
        <v>어려움</v>
      </c>
    </row>
    <row r="336" spans="1:13" ht="15.95" customHeight="1" x14ac:dyDescent="0.3">
      <c r="A336" s="117">
        <v>323</v>
      </c>
      <c r="B336" s="117" t="str">
        <f>Stage!C361</f>
        <v>N 323</v>
      </c>
      <c r="C336" s="117">
        <f>Stage!F361</f>
        <v>170</v>
      </c>
      <c r="D336" s="117">
        <f>IF(Stage!G361="",0,LEN(TRIM(Stage!G361))-LEN(SUBSTITUTE(TRIM(Stage!G361),",",""))+1)</f>
        <v>3</v>
      </c>
      <c r="E336" s="117">
        <f>IF(ISERROR(FIND(",",Stage!H361)),VALUE(Stage!H361),(VALUE(LEFT(Stage!H361,FIND(",",Stage!H361)-1))+VALUE(TRIM(MID(Stage!H361,FIND("|",SUBSTITUTE(Stage!H361,",","|",LEN(Stage!H361)-LEN(SUBSTITUTE(Stage!H361,",",""))))+1,100))))/2)</f>
        <v>3</v>
      </c>
      <c r="F336" s="117">
        <f>IF(ISERROR(FIND(",",Stage!I361)),VALUE(Stage!I361),(VALUE(LEFT(Stage!I361,FIND(",",Stage!I361)-1))+VALUE(TRIM(MID(Stage!I361,FIND("|",SUBSTITUTE(Stage!I361,",","|",LEN(Stage!I361)-LEN(SUBSTITUTE(Stage!I361,",",""))))+1,100))))/2)</f>
        <v>0.3</v>
      </c>
      <c r="G336" s="117">
        <f>IF(ISERROR(FIND(",",Stage!J361)),VALUE(Stage!J361),VALUE(LEFT(Stage!J361,FIND(",",Stage!J361)-1)))</f>
        <v>34</v>
      </c>
      <c r="H336" s="117">
        <f>IF(Stage!K361="",0,LEN(TRIM(Stage!K361))-LEN(SUBSTITUTE(TRIM(Stage!K361),",",""))+1)</f>
        <v>4</v>
      </c>
      <c r="I336" s="117">
        <f>Stage!O361+Stage!P361+Stage!N361+Stage!Q361+Stage!M361</f>
        <v>4</v>
      </c>
      <c r="J336" s="117">
        <f>IF(Stage!F361=0,0,I336/Stage!F361)</f>
        <v>2.3529411764705882E-2</v>
      </c>
      <c r="K336" s="118">
        <f t="shared" si="15"/>
        <v>44.480803254859552</v>
      </c>
      <c r="L336" s="118">
        <f t="shared" ref="L336:L399" si="17">AVERAGE(K334:K338)</f>
        <v>48.253646459690515</v>
      </c>
      <c r="M336" s="117" t="str">
        <f t="shared" si="16"/>
        <v>보통</v>
      </c>
    </row>
    <row r="337" spans="1:13" ht="15.95" customHeight="1" x14ac:dyDescent="0.3">
      <c r="A337" s="119">
        <v>324</v>
      </c>
      <c r="B337" s="119" t="str">
        <f>Stage!C362</f>
        <v>N 324</v>
      </c>
      <c r="C337" s="119">
        <f>Stage!F362</f>
        <v>200</v>
      </c>
      <c r="D337" s="119">
        <f>IF(Stage!G362="",0,LEN(TRIM(Stage!G362))-LEN(SUBSTITUTE(TRIM(Stage!G362),",",""))+1)</f>
        <v>3</v>
      </c>
      <c r="E337" s="119">
        <f>IF(ISERROR(FIND(",",Stage!H362)),VALUE(Stage!H362),(VALUE(LEFT(Stage!H362,FIND(",",Stage!H362)-1))+VALUE(TRIM(MID(Stage!H362,FIND("|",SUBSTITUTE(Stage!H362,",","|",LEN(Stage!H362)-LEN(SUBSTITUTE(Stage!H362,",",""))))+1,100))))/2)</f>
        <v>3</v>
      </c>
      <c r="F337" s="119">
        <f>IF(ISERROR(FIND(",",Stage!I362)),VALUE(Stage!I362),(VALUE(LEFT(Stage!I362,FIND(",",Stage!I362)-1))+VALUE(TRIM(MID(Stage!I362,FIND("|",SUBSTITUTE(Stage!I362,",","|",LEN(Stage!I362)-LEN(SUBSTITUTE(Stage!I362,",",""))))+1,100))))/2)</f>
        <v>0.2</v>
      </c>
      <c r="G337" s="119">
        <f>IF(ISERROR(FIND(",",Stage!J362)),VALUE(Stage!J362),VALUE(LEFT(Stage!J362,FIND(",",Stage!J362)-1)))</f>
        <v>40</v>
      </c>
      <c r="H337" s="119">
        <f>IF(Stage!K362="",0,LEN(TRIM(Stage!K362))-LEN(SUBSTITUTE(TRIM(Stage!K362),",",""))+1)</f>
        <v>4</v>
      </c>
      <c r="I337" s="119">
        <f>Stage!O362+Stage!P362+Stage!N362+Stage!Q362+Stage!M362</f>
        <v>11</v>
      </c>
      <c r="J337" s="119">
        <f>IF(Stage!F362=0,0,I337/Stage!F362)</f>
        <v>5.5E-2</v>
      </c>
      <c r="K337" s="120">
        <f t="shared" si="15"/>
        <v>49.472265609355603</v>
      </c>
      <c r="L337" s="120">
        <f t="shared" si="17"/>
        <v>47.997376263594717</v>
      </c>
      <c r="M337" s="119" t="str">
        <f t="shared" si="16"/>
        <v>어려움</v>
      </c>
    </row>
    <row r="338" spans="1:13" ht="15.95" customHeight="1" x14ac:dyDescent="0.3">
      <c r="A338" s="117">
        <v>325</v>
      </c>
      <c r="B338" s="117" t="str">
        <f>Stage!C363</f>
        <v>N 325</v>
      </c>
      <c r="C338" s="117">
        <f>Stage!F363</f>
        <v>190</v>
      </c>
      <c r="D338" s="117">
        <f>IF(Stage!G363="",0,LEN(TRIM(Stage!G363))-LEN(SUBSTITUTE(TRIM(Stage!G363),",",""))+1)</f>
        <v>3</v>
      </c>
      <c r="E338" s="117">
        <f>IF(ISERROR(FIND(",",Stage!H363)),VALUE(Stage!H363),(VALUE(LEFT(Stage!H363,FIND(",",Stage!H363)-1))+VALUE(TRIM(MID(Stage!H363,FIND("|",SUBSTITUTE(Stage!H363,",","|",LEN(Stage!H363)-LEN(SUBSTITUTE(Stage!H363,",",""))))+1,100))))/2)</f>
        <v>3</v>
      </c>
      <c r="F338" s="117">
        <f>IF(ISERROR(FIND(",",Stage!I363)),VALUE(Stage!I363),(VALUE(LEFT(Stage!I363,FIND(",",Stage!I363)-1))+VALUE(TRIM(MID(Stage!I363,FIND("|",SUBSTITUTE(Stage!I363,",","|",LEN(Stage!I363)-LEN(SUBSTITUTE(Stage!I363,",",""))))+1,100))))/2)</f>
        <v>0.2</v>
      </c>
      <c r="G338" s="117">
        <f>IF(ISERROR(FIND(",",Stage!J363)),VALUE(Stage!J363),VALUE(LEFT(Stage!J363,FIND(",",Stage!J363)-1)))</f>
        <v>38</v>
      </c>
      <c r="H338" s="117">
        <f>IF(Stage!K363="",0,LEN(TRIM(Stage!K363))-LEN(SUBSTITUTE(TRIM(Stage!K363),",",""))+1)</f>
        <v>4</v>
      </c>
      <c r="I338" s="117">
        <f>Stage!O363+Stage!P363+Stage!N363+Stage!Q363+Stage!M363</f>
        <v>9</v>
      </c>
      <c r="J338" s="117">
        <f>IF(Stage!F363=0,0,I338/Stage!F363)</f>
        <v>4.736842105263158E-2</v>
      </c>
      <c r="K338" s="118">
        <f t="shared" si="15"/>
        <v>48.3706322155262</v>
      </c>
      <c r="L338" s="118">
        <f t="shared" si="17"/>
        <v>47.777049584828838</v>
      </c>
      <c r="M338" s="117" t="str">
        <f t="shared" si="16"/>
        <v>어려움</v>
      </c>
    </row>
    <row r="339" spans="1:13" ht="15.95" customHeight="1" x14ac:dyDescent="0.3">
      <c r="A339" s="119">
        <v>326</v>
      </c>
      <c r="B339" s="119" t="str">
        <f>Stage!C364</f>
        <v>N 326</v>
      </c>
      <c r="C339" s="119">
        <f>Stage!F364</f>
        <v>190</v>
      </c>
      <c r="D339" s="119">
        <f>IF(Stage!G364="",0,LEN(TRIM(Stage!G364))-LEN(SUBSTITUTE(TRIM(Stage!G364),",",""))+1)</f>
        <v>3</v>
      </c>
      <c r="E339" s="119">
        <f>IF(ISERROR(FIND(",",Stage!H364)),VALUE(Stage!H364),(VALUE(LEFT(Stage!H364,FIND(",",Stage!H364)-1))+VALUE(TRIM(MID(Stage!H364,FIND("|",SUBSTITUTE(Stage!H364,",","|",LEN(Stage!H364)-LEN(SUBSTITUTE(Stage!H364,",",""))))+1,100))))/2)</f>
        <v>3</v>
      </c>
      <c r="F339" s="119">
        <f>IF(ISERROR(FIND(",",Stage!I364)),VALUE(Stage!I364),(VALUE(LEFT(Stage!I364,FIND(",",Stage!I364)-1))+VALUE(TRIM(MID(Stage!I364,FIND("|",SUBSTITUTE(Stage!I364,",","|",LEN(Stage!I364)-LEN(SUBSTITUTE(Stage!I364,",",""))))+1,100))))/2)</f>
        <v>0.2</v>
      </c>
      <c r="G339" s="119">
        <f>IF(ISERROR(FIND(",",Stage!J364)),VALUE(Stage!J364),VALUE(LEFT(Stage!J364,FIND(",",Stage!J364)-1)))</f>
        <v>38</v>
      </c>
      <c r="H339" s="119">
        <f>IF(Stage!K364="",0,LEN(TRIM(Stage!K364))-LEN(SUBSTITUTE(TRIM(Stage!K364),",",""))+1)</f>
        <v>4</v>
      </c>
      <c r="I339" s="119">
        <f>Stage!O364+Stage!P364+Stage!N364+Stage!Q364+Stage!M364</f>
        <v>8</v>
      </c>
      <c r="J339" s="119">
        <f>IF(Stage!F364=0,0,I339/Stage!F364)</f>
        <v>4.2105263157894736E-2</v>
      </c>
      <c r="K339" s="120">
        <f t="shared" si="15"/>
        <v>48.190914628876648</v>
      </c>
      <c r="L339" s="120">
        <f t="shared" si="17"/>
        <v>48.775342055728046</v>
      </c>
      <c r="M339" s="119" t="str">
        <f t="shared" si="16"/>
        <v>어려움</v>
      </c>
    </row>
    <row r="340" spans="1:13" ht="15.95" customHeight="1" x14ac:dyDescent="0.3">
      <c r="A340" s="117">
        <v>327</v>
      </c>
      <c r="B340" s="117" t="str">
        <f>Stage!C365</f>
        <v>N 327</v>
      </c>
      <c r="C340" s="117">
        <f>Stage!F365</f>
        <v>190</v>
      </c>
      <c r="D340" s="117">
        <f>IF(Stage!G365="",0,LEN(TRIM(Stage!G365))-LEN(SUBSTITUTE(TRIM(Stage!G365),",",""))+1)</f>
        <v>3</v>
      </c>
      <c r="E340" s="117">
        <f>IF(ISERROR(FIND(",",Stage!H365)),VALUE(Stage!H365),(VALUE(LEFT(Stage!H365,FIND(",",Stage!H365)-1))+VALUE(TRIM(MID(Stage!H365,FIND("|",SUBSTITUTE(Stage!H365,",","|",LEN(Stage!H365)-LEN(SUBSTITUTE(Stage!H365,",",""))))+1,100))))/2)</f>
        <v>3</v>
      </c>
      <c r="F340" s="117">
        <f>IF(ISERROR(FIND(",",Stage!I365)),VALUE(Stage!I365),(VALUE(LEFT(Stage!I365,FIND(",",Stage!I365)-1))+VALUE(TRIM(MID(Stage!I365,FIND("|",SUBSTITUTE(Stage!I365,",","|",LEN(Stage!I365)-LEN(SUBSTITUTE(Stage!I365,",",""))))+1,100))))/2)</f>
        <v>0.2</v>
      </c>
      <c r="G340" s="117">
        <f>IF(ISERROR(FIND(",",Stage!J365)),VALUE(Stage!J365),VALUE(LEFT(Stage!J365,FIND(",",Stage!J365)-1)))</f>
        <v>38</v>
      </c>
      <c r="H340" s="117">
        <f>IF(Stage!K365="",0,LEN(TRIM(Stage!K365))-LEN(SUBSTITUTE(TRIM(Stage!K365),",",""))+1)</f>
        <v>4</v>
      </c>
      <c r="I340" s="117">
        <f>Stage!O365+Stage!P365+Stage!N365+Stage!Q365+Stage!M365</f>
        <v>9</v>
      </c>
      <c r="J340" s="117">
        <f>IF(Stage!F365=0,0,I340/Stage!F365)</f>
        <v>4.736842105263158E-2</v>
      </c>
      <c r="K340" s="118">
        <f t="shared" si="15"/>
        <v>48.3706322155262</v>
      </c>
      <c r="L340" s="118">
        <f t="shared" si="17"/>
        <v>48.519071859632263</v>
      </c>
      <c r="M340" s="117" t="str">
        <f t="shared" si="16"/>
        <v>어려움</v>
      </c>
    </row>
    <row r="341" spans="1:13" ht="15.95" customHeight="1" x14ac:dyDescent="0.3">
      <c r="A341" s="119">
        <v>328</v>
      </c>
      <c r="B341" s="119" t="str">
        <f>Stage!C366</f>
        <v>N 328</v>
      </c>
      <c r="C341" s="119">
        <f>Stage!F366</f>
        <v>200</v>
      </c>
      <c r="D341" s="119">
        <f>IF(Stage!G366="",0,LEN(TRIM(Stage!G366))-LEN(SUBSTITUTE(TRIM(Stage!G366),",",""))+1)</f>
        <v>3</v>
      </c>
      <c r="E341" s="119">
        <f>IF(ISERROR(FIND(",",Stage!H366)),VALUE(Stage!H366),(VALUE(LEFT(Stage!H366,FIND(",",Stage!H366)-1))+VALUE(TRIM(MID(Stage!H366,FIND("|",SUBSTITUTE(Stage!H366,",","|",LEN(Stage!H366)-LEN(SUBSTITUTE(Stage!H366,",",""))))+1,100))))/2)</f>
        <v>3</v>
      </c>
      <c r="F341" s="119">
        <f>IF(ISERROR(FIND(",",Stage!I366)),VALUE(Stage!I366),(VALUE(LEFT(Stage!I366,FIND(",",Stage!I366)-1))+VALUE(TRIM(MID(Stage!I366,FIND("|",SUBSTITUTE(Stage!I366,",","|",LEN(Stage!I366)-LEN(SUBSTITUTE(Stage!I366,",",""))))+1,100))))/2)</f>
        <v>0.2</v>
      </c>
      <c r="G341" s="119">
        <f>IF(ISERROR(FIND(",",Stage!J366)),VALUE(Stage!J366),VALUE(LEFT(Stage!J366,FIND(",",Stage!J366)-1)))</f>
        <v>40</v>
      </c>
      <c r="H341" s="119">
        <f>IF(Stage!K366="",0,LEN(TRIM(Stage!K366))-LEN(SUBSTITUTE(TRIM(Stage!K366),",",""))+1)</f>
        <v>4</v>
      </c>
      <c r="I341" s="119">
        <f>Stage!O366+Stage!P366+Stage!N366+Stage!Q366+Stage!M366</f>
        <v>11</v>
      </c>
      <c r="J341" s="119">
        <f>IF(Stage!F366=0,0,I341/Stage!F366)</f>
        <v>5.5E-2</v>
      </c>
      <c r="K341" s="120">
        <f t="shared" si="15"/>
        <v>49.472265609355603</v>
      </c>
      <c r="L341" s="120">
        <f t="shared" si="17"/>
        <v>48.739398538398142</v>
      </c>
      <c r="M341" s="119" t="str">
        <f t="shared" si="16"/>
        <v>어려움</v>
      </c>
    </row>
    <row r="342" spans="1:13" ht="15.95" customHeight="1" x14ac:dyDescent="0.3">
      <c r="A342" s="117">
        <v>329</v>
      </c>
      <c r="B342" s="117" t="str">
        <f>Stage!C367</f>
        <v>N 329</v>
      </c>
      <c r="C342" s="117">
        <f>Stage!F367</f>
        <v>190</v>
      </c>
      <c r="D342" s="117">
        <f>IF(Stage!G367="",0,LEN(TRIM(Stage!G367))-LEN(SUBSTITUTE(TRIM(Stage!G367),",",""))+1)</f>
        <v>3</v>
      </c>
      <c r="E342" s="117">
        <f>IF(ISERROR(FIND(",",Stage!H367)),VALUE(Stage!H367),(VALUE(LEFT(Stage!H367,FIND(",",Stage!H367)-1))+VALUE(TRIM(MID(Stage!H367,FIND("|",SUBSTITUTE(Stage!H367,",","|",LEN(Stage!H367)-LEN(SUBSTITUTE(Stage!H367,",",""))))+1,100))))/2)</f>
        <v>3</v>
      </c>
      <c r="F342" s="117">
        <f>IF(ISERROR(FIND(",",Stage!I367)),VALUE(Stage!I367),(VALUE(LEFT(Stage!I367,FIND(",",Stage!I367)-1))+VALUE(TRIM(MID(Stage!I367,FIND("|",SUBSTITUTE(Stage!I367,",","|",LEN(Stage!I367)-LEN(SUBSTITUTE(Stage!I367,",",""))))+1,100))))/2)</f>
        <v>0.2</v>
      </c>
      <c r="G342" s="117">
        <f>IF(ISERROR(FIND(",",Stage!J367)),VALUE(Stage!J367),VALUE(LEFT(Stage!J367,FIND(",",Stage!J367)-1)))</f>
        <v>38</v>
      </c>
      <c r="H342" s="117">
        <f>IF(Stage!K367="",0,LEN(TRIM(Stage!K367))-LEN(SUBSTITUTE(TRIM(Stage!K367),",",""))+1)</f>
        <v>4</v>
      </c>
      <c r="I342" s="117">
        <f>Stage!O367+Stage!P367+Stage!N367+Stage!Q367+Stage!M367</f>
        <v>8</v>
      </c>
      <c r="J342" s="117">
        <f>IF(Stage!F367=0,0,I342/Stage!F367)</f>
        <v>4.2105263157894736E-2</v>
      </c>
      <c r="K342" s="118">
        <f t="shared" si="15"/>
        <v>48.190914628876648</v>
      </c>
      <c r="L342" s="118">
        <f t="shared" si="17"/>
        <v>47.997376263594717</v>
      </c>
      <c r="M342" s="117" t="str">
        <f t="shared" si="16"/>
        <v>어려움</v>
      </c>
    </row>
    <row r="343" spans="1:13" ht="15.95" customHeight="1" x14ac:dyDescent="0.3">
      <c r="A343" s="119">
        <v>330</v>
      </c>
      <c r="B343" s="119" t="str">
        <f>Stage!C368</f>
        <v>N 330</v>
      </c>
      <c r="C343" s="119">
        <f>Stage!F368</f>
        <v>200</v>
      </c>
      <c r="D343" s="119">
        <f>IF(Stage!G368="",0,LEN(TRIM(Stage!G368))-LEN(SUBSTITUTE(TRIM(Stage!G368),",",""))+1)</f>
        <v>3</v>
      </c>
      <c r="E343" s="119">
        <f>IF(ISERROR(FIND(",",Stage!H368)),VALUE(Stage!H368),(VALUE(LEFT(Stage!H368,FIND(",",Stage!H368)-1))+VALUE(TRIM(MID(Stage!H368,FIND("|",SUBSTITUTE(Stage!H368,",","|",LEN(Stage!H368)-LEN(SUBSTITUTE(Stage!H368,",",""))))+1,100))))/2)</f>
        <v>3</v>
      </c>
      <c r="F343" s="119">
        <f>IF(ISERROR(FIND(",",Stage!I368)),VALUE(Stage!I368),(VALUE(LEFT(Stage!I368,FIND(",",Stage!I368)-1))+VALUE(TRIM(MID(Stage!I368,FIND("|",SUBSTITUTE(Stage!I368,",","|",LEN(Stage!I368)-LEN(SUBSTITUTE(Stage!I368,",",""))))+1,100))))/2)</f>
        <v>0.2</v>
      </c>
      <c r="G343" s="119">
        <f>IF(ISERROR(FIND(",",Stage!J368)),VALUE(Stage!J368),VALUE(LEFT(Stage!J368,FIND(",",Stage!J368)-1)))</f>
        <v>40</v>
      </c>
      <c r="H343" s="119">
        <f>IF(Stage!K368="",0,LEN(TRIM(Stage!K368))-LEN(SUBSTITUTE(TRIM(Stage!K368),",",""))+1)</f>
        <v>4</v>
      </c>
      <c r="I343" s="119">
        <f>Stage!O368+Stage!P368+Stage!N368+Stage!Q368+Stage!M368</f>
        <v>11</v>
      </c>
      <c r="J343" s="119">
        <f>IF(Stage!F368=0,0,I343/Stage!F368)</f>
        <v>5.5E-2</v>
      </c>
      <c r="K343" s="120">
        <f t="shared" si="15"/>
        <v>49.472265609355603</v>
      </c>
      <c r="L343" s="120">
        <f t="shared" si="17"/>
        <v>48.217702942360596</v>
      </c>
      <c r="M343" s="119" t="str">
        <f t="shared" si="16"/>
        <v>어려움</v>
      </c>
    </row>
    <row r="344" spans="1:13" ht="15.95" customHeight="1" x14ac:dyDescent="0.3">
      <c r="A344" s="117">
        <v>331</v>
      </c>
      <c r="B344" s="117" t="str">
        <f>Stage!C369</f>
        <v>N 331</v>
      </c>
      <c r="C344" s="117">
        <f>Stage!F369</f>
        <v>170</v>
      </c>
      <c r="D344" s="117">
        <f>IF(Stage!G369="",0,LEN(TRIM(Stage!G369))-LEN(SUBSTITUTE(TRIM(Stage!G369),",",""))+1)</f>
        <v>3</v>
      </c>
      <c r="E344" s="117">
        <f>IF(ISERROR(FIND(",",Stage!H369)),VALUE(Stage!H369),(VALUE(LEFT(Stage!H369,FIND(",",Stage!H369)-1))+VALUE(TRIM(MID(Stage!H369,FIND("|",SUBSTITUTE(Stage!H369,",","|",LEN(Stage!H369)-LEN(SUBSTITUTE(Stage!H369,",",""))))+1,100))))/2)</f>
        <v>3</v>
      </c>
      <c r="F344" s="117">
        <f>IF(ISERROR(FIND(",",Stage!I369)),VALUE(Stage!I369),(VALUE(LEFT(Stage!I369,FIND(",",Stage!I369)-1))+VALUE(TRIM(MID(Stage!I369,FIND("|",SUBSTITUTE(Stage!I369,",","|",LEN(Stage!I369)-LEN(SUBSTITUTE(Stage!I369,",",""))))+1,100))))/2)</f>
        <v>0.3</v>
      </c>
      <c r="G344" s="117">
        <f>IF(ISERROR(FIND(",",Stage!J369)),VALUE(Stage!J369),VALUE(LEFT(Stage!J369,FIND(",",Stage!J369)-1)))</f>
        <v>34</v>
      </c>
      <c r="H344" s="117">
        <f>IF(Stage!K369="",0,LEN(TRIM(Stage!K369))-LEN(SUBSTITUTE(TRIM(Stage!K369),",",""))+1)</f>
        <v>4</v>
      </c>
      <c r="I344" s="117">
        <f>Stage!O369+Stage!P369+Stage!N369+Stage!Q369+Stage!M369</f>
        <v>4</v>
      </c>
      <c r="J344" s="117">
        <f>IF(Stage!F369=0,0,I344/Stage!F369)</f>
        <v>2.3529411764705882E-2</v>
      </c>
      <c r="K344" s="118">
        <f t="shared" si="15"/>
        <v>44.480803254859552</v>
      </c>
      <c r="L344" s="118">
        <f t="shared" si="17"/>
        <v>47.733318305410783</v>
      </c>
      <c r="M344" s="117" t="str">
        <f t="shared" si="16"/>
        <v>보통</v>
      </c>
    </row>
    <row r="345" spans="1:13" ht="15.95" customHeight="1" x14ac:dyDescent="0.3">
      <c r="A345" s="119">
        <v>332</v>
      </c>
      <c r="B345" s="119" t="str">
        <f>Stage!C370</f>
        <v>N 332</v>
      </c>
      <c r="C345" s="119">
        <f>Stage!F370</f>
        <v>200</v>
      </c>
      <c r="D345" s="119">
        <f>IF(Stage!G370="",0,LEN(TRIM(Stage!G370))-LEN(SUBSTITUTE(TRIM(Stage!G370),",",""))+1)</f>
        <v>3</v>
      </c>
      <c r="E345" s="119">
        <f>IF(ISERROR(FIND(",",Stage!H370)),VALUE(Stage!H370),(VALUE(LEFT(Stage!H370,FIND(",",Stage!H370)-1))+VALUE(TRIM(MID(Stage!H370,FIND("|",SUBSTITUTE(Stage!H370,",","|",LEN(Stage!H370)-LEN(SUBSTITUTE(Stage!H370,",",""))))+1,100))))/2)</f>
        <v>3</v>
      </c>
      <c r="F345" s="119">
        <f>IF(ISERROR(FIND(",",Stage!I370)),VALUE(Stage!I370),(VALUE(LEFT(Stage!I370,FIND(",",Stage!I370)-1))+VALUE(TRIM(MID(Stage!I370,FIND("|",SUBSTITUTE(Stage!I370,",","|",LEN(Stage!I370)-LEN(SUBSTITUTE(Stage!I370,",",""))))+1,100))))/2)</f>
        <v>0.2</v>
      </c>
      <c r="G345" s="119">
        <f>IF(ISERROR(FIND(",",Stage!J370)),VALUE(Stage!J370),VALUE(LEFT(Stage!J370,FIND(",",Stage!J370)-1)))</f>
        <v>40</v>
      </c>
      <c r="H345" s="119">
        <f>IF(Stage!K370="",0,LEN(TRIM(Stage!K370))-LEN(SUBSTITUTE(TRIM(Stage!K370),",",""))+1)</f>
        <v>4</v>
      </c>
      <c r="I345" s="119">
        <f>Stage!O370+Stage!P370+Stage!N370+Stage!Q370+Stage!M370</f>
        <v>11</v>
      </c>
      <c r="J345" s="119">
        <f>IF(Stage!F370=0,0,I345/Stage!F370)</f>
        <v>5.5E-2</v>
      </c>
      <c r="K345" s="120">
        <f t="shared" si="15"/>
        <v>49.472265609355603</v>
      </c>
      <c r="L345" s="120">
        <f t="shared" si="17"/>
        <v>46.870671589990835</v>
      </c>
      <c r="M345" s="119" t="str">
        <f t="shared" si="16"/>
        <v>어려움</v>
      </c>
    </row>
    <row r="346" spans="1:13" ht="15.95" customHeight="1" x14ac:dyDescent="0.3">
      <c r="A346" s="117">
        <v>333</v>
      </c>
      <c r="B346" s="117" t="str">
        <f>Stage!C371</f>
        <v>N 333</v>
      </c>
      <c r="C346" s="117">
        <f>Stage!F371</f>
        <v>180</v>
      </c>
      <c r="D346" s="117">
        <f>IF(Stage!G371="",0,LEN(TRIM(Stage!G371))-LEN(SUBSTITUTE(TRIM(Stage!G371),",",""))+1)</f>
        <v>3</v>
      </c>
      <c r="E346" s="117">
        <f>IF(ISERROR(FIND(",",Stage!H371)),VALUE(Stage!H371),(VALUE(LEFT(Stage!H371,FIND(",",Stage!H371)-1))+VALUE(TRIM(MID(Stage!H371,FIND("|",SUBSTITUTE(Stage!H371,",","|",LEN(Stage!H371)-LEN(SUBSTITUTE(Stage!H371,",",""))))+1,100))))/2)</f>
        <v>3</v>
      </c>
      <c r="F346" s="117">
        <f>IF(ISERROR(FIND(",",Stage!I371)),VALUE(Stage!I371),(VALUE(LEFT(Stage!I371,FIND(",",Stage!I371)-1))+VALUE(TRIM(MID(Stage!I371,FIND("|",SUBSTITUTE(Stage!I371,",","|",LEN(Stage!I371)-LEN(SUBSTITUTE(Stage!I371,",",""))))+1,100))))/2)</f>
        <v>0.2</v>
      </c>
      <c r="G346" s="117">
        <f>IF(ISERROR(FIND(",",Stage!J371)),VALUE(Stage!J371),VALUE(LEFT(Stage!J371,FIND(",",Stage!J371)-1)))</f>
        <v>36</v>
      </c>
      <c r="H346" s="117">
        <f>IF(Stage!K371="",0,LEN(TRIM(Stage!K371))-LEN(SUBSTITUTE(TRIM(Stage!K371),",",""))+1)</f>
        <v>4</v>
      </c>
      <c r="I346" s="117">
        <f>Stage!O371+Stage!P371+Stage!N371+Stage!Q371+Stage!M371</f>
        <v>6</v>
      </c>
      <c r="J346" s="117">
        <f>IF(Stage!F371=0,0,I346/Stage!F371)</f>
        <v>3.3333333333333333E-2</v>
      </c>
      <c r="K346" s="118">
        <f t="shared" si="15"/>
        <v>47.050342424606512</v>
      </c>
      <c r="L346" s="118">
        <f t="shared" si="17"/>
        <v>44.818187671221885</v>
      </c>
      <c r="M346" s="117" t="str">
        <f t="shared" si="16"/>
        <v>어려움</v>
      </c>
    </row>
    <row r="347" spans="1:13" ht="15.95" customHeight="1" x14ac:dyDescent="0.3">
      <c r="A347" s="119">
        <v>334</v>
      </c>
      <c r="B347" s="119" t="str">
        <f>Stage!C372</f>
        <v>N 334</v>
      </c>
      <c r="C347" s="119">
        <f>Stage!F372</f>
        <v>165</v>
      </c>
      <c r="D347" s="119">
        <f>IF(Stage!G372="",0,LEN(TRIM(Stage!G372))-LEN(SUBSTITUTE(TRIM(Stage!G372),",",""))+1)</f>
        <v>3</v>
      </c>
      <c r="E347" s="119">
        <f>IF(ISERROR(FIND(",",Stage!H372)),VALUE(Stage!H372),(VALUE(LEFT(Stage!H372,FIND(",",Stage!H372)-1))+VALUE(TRIM(MID(Stage!H372,FIND("|",SUBSTITUTE(Stage!H372,",","|",LEN(Stage!H372)-LEN(SUBSTITUTE(Stage!H372,",",""))))+1,100))))/2)</f>
        <v>3</v>
      </c>
      <c r="F347" s="119">
        <f>IF(ISERROR(FIND(",",Stage!I372)),VALUE(Stage!I372),(VALUE(LEFT(Stage!I372,FIND(",",Stage!I372)-1))+VALUE(TRIM(MID(Stage!I372,FIND("|",SUBSTITUTE(Stage!I372,",","|",LEN(Stage!I372)-LEN(SUBSTITUTE(Stage!I372,",",""))))+1,100))))/2)</f>
        <v>0.3</v>
      </c>
      <c r="G347" s="119">
        <f>IF(ISERROR(FIND(",",Stage!J372)),VALUE(Stage!J372),VALUE(LEFT(Stage!J372,FIND(",",Stage!J372)-1)))</f>
        <v>33</v>
      </c>
      <c r="H347" s="119">
        <f>IF(Stage!K372="",0,LEN(TRIM(Stage!K372))-LEN(SUBSTITUTE(TRIM(Stage!K372),",",""))+1)</f>
        <v>4</v>
      </c>
      <c r="I347" s="119">
        <f>Stage!O372+Stage!P372+Stage!N372+Stage!Q372+Stage!M372</f>
        <v>3</v>
      </c>
      <c r="J347" s="119">
        <f>IF(Stage!F372=0,0,I347/Stage!F372)</f>
        <v>1.8181818181818181E-2</v>
      </c>
      <c r="K347" s="120">
        <f t="shared" si="15"/>
        <v>43.877681051776932</v>
      </c>
      <c r="L347" s="120">
        <f t="shared" si="17"/>
        <v>43.763996223352144</v>
      </c>
      <c r="M347" s="119" t="str">
        <f t="shared" si="16"/>
        <v>보통</v>
      </c>
    </row>
    <row r="348" spans="1:13" ht="15.95" customHeight="1" x14ac:dyDescent="0.3">
      <c r="A348" s="117">
        <v>335</v>
      </c>
      <c r="B348" s="117" t="str">
        <f>Stage!C373</f>
        <v>N 335</v>
      </c>
      <c r="C348" s="117">
        <f>Stage!F373</f>
        <v>155</v>
      </c>
      <c r="D348" s="117">
        <f>IF(Stage!G373="",0,LEN(TRIM(Stage!G373))-LEN(SUBSTITUTE(TRIM(Stage!G373),",",""))+1)</f>
        <v>3</v>
      </c>
      <c r="E348" s="117">
        <f>IF(ISERROR(FIND(",",Stage!H373)),VALUE(Stage!H373),(VALUE(LEFT(Stage!H373,FIND(",",Stage!H373)-1))+VALUE(TRIM(MID(Stage!H373,FIND("|",SUBSTITUTE(Stage!H373,",","|",LEN(Stage!H373)-LEN(SUBSTITUTE(Stage!H373,",",""))))+1,100))))/2)</f>
        <v>2.5</v>
      </c>
      <c r="F348" s="117">
        <f>IF(ISERROR(FIND(",",Stage!I373)),VALUE(Stage!I373),(VALUE(LEFT(Stage!I373,FIND(",",Stage!I373)-1))+VALUE(TRIM(MID(Stage!I373,FIND("|",SUBSTITUTE(Stage!I373,",","|",LEN(Stage!I373)-LEN(SUBSTITUTE(Stage!I373,",",""))))+1,100))))/2)</f>
        <v>0.4</v>
      </c>
      <c r="G348" s="117">
        <f>IF(ISERROR(FIND(",",Stage!J373)),VALUE(Stage!J373),VALUE(LEFT(Stage!J373,FIND(",",Stage!J373)-1)))</f>
        <v>31</v>
      </c>
      <c r="H348" s="117">
        <f>IF(Stage!K373="",0,LEN(TRIM(Stage!K373))-LEN(SUBSTITUTE(TRIM(Stage!K373),",",""))+1)</f>
        <v>4</v>
      </c>
      <c r="I348" s="117">
        <f>Stage!O373+Stage!P373+Stage!N373+Stage!Q373+Stage!M373</f>
        <v>1</v>
      </c>
      <c r="J348" s="117">
        <f>IF(Stage!F373=0,0,I348/Stage!F373)</f>
        <v>6.4516129032258064E-3</v>
      </c>
      <c r="K348" s="118">
        <f t="shared" si="15"/>
        <v>39.209846015510841</v>
      </c>
      <c r="L348" s="118">
        <f t="shared" si="17"/>
        <v>43.507726027256354</v>
      </c>
      <c r="M348" s="117" t="str">
        <f t="shared" si="16"/>
        <v>보통</v>
      </c>
    </row>
    <row r="349" spans="1:13" ht="15.95" customHeight="1" x14ac:dyDescent="0.3">
      <c r="A349" s="119">
        <v>336</v>
      </c>
      <c r="B349" s="119" t="str">
        <f>Stage!C374</f>
        <v>N 336</v>
      </c>
      <c r="C349" s="119">
        <f>Stage!F374</f>
        <v>155</v>
      </c>
      <c r="D349" s="119">
        <f>IF(Stage!G374="",0,LEN(TRIM(Stage!G374))-LEN(SUBSTITUTE(TRIM(Stage!G374),",",""))+1)</f>
        <v>3</v>
      </c>
      <c r="E349" s="119">
        <f>IF(ISERROR(FIND(",",Stage!H374)),VALUE(Stage!H374),(VALUE(LEFT(Stage!H374,FIND(",",Stage!H374)-1))+VALUE(TRIM(MID(Stage!H374,FIND("|",SUBSTITUTE(Stage!H374,",","|",LEN(Stage!H374)-LEN(SUBSTITUTE(Stage!H374,",",""))))+1,100))))/2)</f>
        <v>2.5</v>
      </c>
      <c r="F349" s="119">
        <f>IF(ISERROR(FIND(",",Stage!I374)),VALUE(Stage!I374),(VALUE(LEFT(Stage!I374,FIND(",",Stage!I374)-1))+VALUE(TRIM(MID(Stage!I374,FIND("|",SUBSTITUTE(Stage!I374,",","|",LEN(Stage!I374)-LEN(SUBSTITUTE(Stage!I374,",",""))))+1,100))))/2)</f>
        <v>0.4</v>
      </c>
      <c r="G349" s="119">
        <f>IF(ISERROR(FIND(",",Stage!J374)),VALUE(Stage!J374),VALUE(LEFT(Stage!J374,FIND(",",Stage!J374)-1)))</f>
        <v>31</v>
      </c>
      <c r="H349" s="119">
        <f>IF(Stage!K374="",0,LEN(TRIM(Stage!K374))-LEN(SUBSTITUTE(TRIM(Stage!K374),",",""))+1)</f>
        <v>4</v>
      </c>
      <c r="I349" s="119">
        <f>Stage!O374+Stage!P374+Stage!N374+Stage!Q374+Stage!M374</f>
        <v>1</v>
      </c>
      <c r="J349" s="119">
        <f>IF(Stage!F374=0,0,I349/Stage!F374)</f>
        <v>6.4516129032258064E-3</v>
      </c>
      <c r="K349" s="120">
        <f t="shared" si="15"/>
        <v>39.209846015510841</v>
      </c>
      <c r="L349" s="120">
        <f t="shared" si="17"/>
        <v>42.466689687649783</v>
      </c>
      <c r="M349" s="119" t="str">
        <f t="shared" si="16"/>
        <v>보통</v>
      </c>
    </row>
    <row r="350" spans="1:13" ht="15.95" customHeight="1" x14ac:dyDescent="0.3">
      <c r="A350" s="117">
        <v>337</v>
      </c>
      <c r="B350" s="117" t="str">
        <f>Stage!C375</f>
        <v>N 337</v>
      </c>
      <c r="C350" s="117">
        <f>Stage!F375</f>
        <v>190</v>
      </c>
      <c r="D350" s="117">
        <f>IF(Stage!G375="",0,LEN(TRIM(Stage!G375))-LEN(SUBSTITUTE(TRIM(Stage!G375),",",""))+1)</f>
        <v>3</v>
      </c>
      <c r="E350" s="117">
        <f>IF(ISERROR(FIND(",",Stage!H375)),VALUE(Stage!H375),(VALUE(LEFT(Stage!H375,FIND(",",Stage!H375)-1))+VALUE(TRIM(MID(Stage!H375,FIND("|",SUBSTITUTE(Stage!H375,",","|",LEN(Stage!H375)-LEN(SUBSTITUTE(Stage!H375,",",""))))+1,100))))/2)</f>
        <v>3</v>
      </c>
      <c r="F350" s="117">
        <f>IF(ISERROR(FIND(",",Stage!I375)),VALUE(Stage!I375),(VALUE(LEFT(Stage!I375,FIND(",",Stage!I375)-1))+VALUE(TRIM(MID(Stage!I375,FIND("|",SUBSTITUTE(Stage!I375,",","|",LEN(Stage!I375)-LEN(SUBSTITUTE(Stage!I375,",",""))))+1,100))))/2)</f>
        <v>0.2</v>
      </c>
      <c r="G350" s="117">
        <f>IF(ISERROR(FIND(",",Stage!J375)),VALUE(Stage!J375),VALUE(LEFT(Stage!J375,FIND(",",Stage!J375)-1)))</f>
        <v>38</v>
      </c>
      <c r="H350" s="117">
        <f>IF(Stage!K375="",0,LEN(TRIM(Stage!K375))-LEN(SUBSTITUTE(TRIM(Stage!K375),",",""))+1)</f>
        <v>4</v>
      </c>
      <c r="I350" s="117">
        <f>Stage!O375+Stage!P375+Stage!N375+Stage!Q375+Stage!M375</f>
        <v>8</v>
      </c>
      <c r="J350" s="117">
        <f>IF(Stage!F375=0,0,I350/Stage!F375)</f>
        <v>4.2105263157894736E-2</v>
      </c>
      <c r="K350" s="118">
        <f t="shared" si="15"/>
        <v>48.190914628876648</v>
      </c>
      <c r="L350" s="118">
        <f t="shared" si="17"/>
        <v>42.46668968764979</v>
      </c>
      <c r="M350" s="117" t="str">
        <f t="shared" si="16"/>
        <v>어려움</v>
      </c>
    </row>
    <row r="351" spans="1:13" ht="15.95" customHeight="1" x14ac:dyDescent="0.3">
      <c r="A351" s="119">
        <v>338</v>
      </c>
      <c r="B351" s="119" t="str">
        <f>Stage!C376</f>
        <v>N 338</v>
      </c>
      <c r="C351" s="119">
        <f>Stage!F376</f>
        <v>165</v>
      </c>
      <c r="D351" s="119">
        <f>IF(Stage!G376="",0,LEN(TRIM(Stage!G376))-LEN(SUBSTITUTE(TRIM(Stage!G376),",",""))+1)</f>
        <v>3</v>
      </c>
      <c r="E351" s="119">
        <f>IF(ISERROR(FIND(",",Stage!H376)),VALUE(Stage!H376),(VALUE(LEFT(Stage!H376,FIND(",",Stage!H376)-1))+VALUE(TRIM(MID(Stage!H376,FIND("|",SUBSTITUTE(Stage!H376,",","|",LEN(Stage!H376)-LEN(SUBSTITUTE(Stage!H376,",",""))))+1,100))))/2)</f>
        <v>2.5</v>
      </c>
      <c r="F351" s="119">
        <f>IF(ISERROR(FIND(",",Stage!I376)),VALUE(Stage!I376),(VALUE(LEFT(Stage!I376,FIND(",",Stage!I376)-1))+VALUE(TRIM(MID(Stage!I376,FIND("|",SUBSTITUTE(Stage!I376,",","|",LEN(Stage!I376)-LEN(SUBSTITUTE(Stage!I376,",",""))))+1,100))))/2)</f>
        <v>0.3</v>
      </c>
      <c r="G351" s="119">
        <f>IF(ISERROR(FIND(",",Stage!J376)),VALUE(Stage!J376),VALUE(LEFT(Stage!J376,FIND(",",Stage!J376)-1)))</f>
        <v>33</v>
      </c>
      <c r="H351" s="119">
        <f>IF(Stage!K376="",0,LEN(TRIM(Stage!K376))-LEN(SUBSTITUTE(TRIM(Stage!K376),",",""))+1)</f>
        <v>4</v>
      </c>
      <c r="I351" s="119">
        <f>Stage!O376+Stage!P376+Stage!N376+Stage!Q376+Stage!M376</f>
        <v>3</v>
      </c>
      <c r="J351" s="119">
        <f>IF(Stage!F376=0,0,I351/Stage!F376)</f>
        <v>1.8181818181818181E-2</v>
      </c>
      <c r="K351" s="120">
        <f t="shared" si="15"/>
        <v>41.845160726573674</v>
      </c>
      <c r="L351" s="120">
        <f t="shared" si="17"/>
        <v>43.520881135519531</v>
      </c>
      <c r="M351" s="119" t="str">
        <f t="shared" si="16"/>
        <v>보통</v>
      </c>
    </row>
    <row r="352" spans="1:13" ht="15.95" customHeight="1" x14ac:dyDescent="0.3">
      <c r="A352" s="117">
        <v>339</v>
      </c>
      <c r="B352" s="117" t="str">
        <f>Stage!C377</f>
        <v>N 339</v>
      </c>
      <c r="C352" s="117">
        <f>Stage!F377</f>
        <v>165</v>
      </c>
      <c r="D352" s="117">
        <f>IF(Stage!G377="",0,LEN(TRIM(Stage!G377))-LEN(SUBSTITUTE(TRIM(Stage!G377),",",""))+1)</f>
        <v>3</v>
      </c>
      <c r="E352" s="117">
        <f>IF(ISERROR(FIND(",",Stage!H377)),VALUE(Stage!H377),(VALUE(LEFT(Stage!H377,FIND(",",Stage!H377)-1))+VALUE(TRIM(MID(Stage!H377,FIND("|",SUBSTITUTE(Stage!H377,",","|",LEN(Stage!H377)-LEN(SUBSTITUTE(Stage!H377,",",""))))+1,100))))/2)</f>
        <v>3</v>
      </c>
      <c r="F352" s="117">
        <f>IF(ISERROR(FIND(",",Stage!I377)),VALUE(Stage!I377),(VALUE(LEFT(Stage!I377,FIND(",",Stage!I377)-1))+VALUE(TRIM(MID(Stage!I377,FIND("|",SUBSTITUTE(Stage!I377,",","|",LEN(Stage!I377)-LEN(SUBSTITUTE(Stage!I377,",",""))))+1,100))))/2)</f>
        <v>0.3</v>
      </c>
      <c r="G352" s="117">
        <f>IF(ISERROR(FIND(",",Stage!J377)),VALUE(Stage!J377),VALUE(LEFT(Stage!J377,FIND(",",Stage!J377)-1)))</f>
        <v>33</v>
      </c>
      <c r="H352" s="117">
        <f>IF(Stage!K377="",0,LEN(TRIM(Stage!K377))-LEN(SUBSTITUTE(TRIM(Stage!K377),",",""))+1)</f>
        <v>4</v>
      </c>
      <c r="I352" s="117">
        <f>Stage!O377+Stage!P377+Stage!N377+Stage!Q377+Stage!M377</f>
        <v>3</v>
      </c>
      <c r="J352" s="117">
        <f>IF(Stage!F377=0,0,I352/Stage!F377)</f>
        <v>1.8181818181818181E-2</v>
      </c>
      <c r="K352" s="118">
        <f t="shared" si="15"/>
        <v>43.877681051776932</v>
      </c>
      <c r="L352" s="118">
        <f t="shared" si="17"/>
        <v>41.911720615183995</v>
      </c>
      <c r="M352" s="117" t="str">
        <f t="shared" si="16"/>
        <v>보통</v>
      </c>
    </row>
    <row r="353" spans="1:13" ht="15.95" customHeight="1" x14ac:dyDescent="0.3">
      <c r="A353" s="119">
        <v>340</v>
      </c>
      <c r="B353" s="119" t="str">
        <f>Stage!C378</f>
        <v>N 340</v>
      </c>
      <c r="C353" s="119">
        <f>Stage!F378</f>
        <v>170</v>
      </c>
      <c r="D353" s="119">
        <f>IF(Stage!G378="",0,LEN(TRIM(Stage!G378))-LEN(SUBSTITUTE(TRIM(Stage!G378),",",""))+1)</f>
        <v>3</v>
      </c>
      <c r="E353" s="119">
        <f>IF(ISERROR(FIND(",",Stage!H378)),VALUE(Stage!H378),(VALUE(LEFT(Stage!H378,FIND(",",Stage!H378)-1))+VALUE(TRIM(MID(Stage!H378,FIND("|",SUBSTITUTE(Stage!H378,",","|",LEN(Stage!H378)-LEN(SUBSTITUTE(Stage!H378,",",""))))+1,100))))/2)</f>
        <v>3</v>
      </c>
      <c r="F353" s="119">
        <f>IF(ISERROR(FIND(",",Stage!I378)),VALUE(Stage!I378),(VALUE(LEFT(Stage!I378,FIND(",",Stage!I378)-1))+VALUE(TRIM(MID(Stage!I378,FIND("|",SUBSTITUTE(Stage!I378,",","|",LEN(Stage!I378)-LEN(SUBSTITUTE(Stage!I378,",",""))))+1,100))))/2)</f>
        <v>0.3</v>
      </c>
      <c r="G353" s="119">
        <f>IF(ISERROR(FIND(",",Stage!J378)),VALUE(Stage!J378),VALUE(LEFT(Stage!J378,FIND(",",Stage!J378)-1)))</f>
        <v>34</v>
      </c>
      <c r="H353" s="119">
        <f>IF(Stage!K378="",0,LEN(TRIM(Stage!K378))-LEN(SUBSTITUTE(TRIM(Stage!K378),",",""))+1)</f>
        <v>4</v>
      </c>
      <c r="I353" s="119">
        <f>Stage!O378+Stage!P378+Stage!N378+Stage!Q378+Stage!M378</f>
        <v>4</v>
      </c>
      <c r="J353" s="119">
        <f>IF(Stage!F378=0,0,I353/Stage!F378)</f>
        <v>2.3529411764705882E-2</v>
      </c>
      <c r="K353" s="120">
        <f t="shared" si="15"/>
        <v>44.480803254859552</v>
      </c>
      <c r="L353" s="120">
        <f t="shared" si="17"/>
        <v>40.032871263039965</v>
      </c>
      <c r="M353" s="119" t="str">
        <f t="shared" si="16"/>
        <v>보통</v>
      </c>
    </row>
    <row r="354" spans="1:13" ht="15.95" customHeight="1" x14ac:dyDescent="0.3">
      <c r="A354" s="117">
        <v>341</v>
      </c>
      <c r="B354" s="117" t="str">
        <f>Stage!C379</f>
        <v>N 341</v>
      </c>
      <c r="C354" s="117">
        <f>Stage!F379</f>
        <v>100</v>
      </c>
      <c r="D354" s="117">
        <f>IF(Stage!G379="",0,LEN(TRIM(Stage!G379))-LEN(SUBSTITUTE(TRIM(Stage!G379),",",""))+1)</f>
        <v>3</v>
      </c>
      <c r="E354" s="117">
        <f>IF(ISERROR(FIND(",",Stage!H379)),VALUE(Stage!H379),(VALUE(LEFT(Stage!H379,FIND(",",Stage!H379)-1))+VALUE(TRIM(MID(Stage!H379,FIND("|",SUBSTITUTE(Stage!H379,",","|",LEN(Stage!H379)-LEN(SUBSTITUTE(Stage!H379,",",""))))+1,100))))/2)</f>
        <v>2</v>
      </c>
      <c r="F354" s="117">
        <f>IF(ISERROR(FIND(",",Stage!I379)),VALUE(Stage!I379),(VALUE(LEFT(Stage!I379,FIND(",",Stage!I379)-1))+VALUE(TRIM(MID(Stage!I379,FIND("|",SUBSTITUTE(Stage!I379,",","|",LEN(Stage!I379)-LEN(SUBSTITUTE(Stage!I379,",",""))))+1,100))))/2)</f>
        <v>0.5</v>
      </c>
      <c r="G354" s="117">
        <f>IF(ISERROR(FIND(",",Stage!J379)),VALUE(Stage!J379),VALUE(LEFT(Stage!J379,FIND(",",Stage!J379)-1)))</f>
        <v>25</v>
      </c>
      <c r="H354" s="117">
        <f>IF(Stage!K379="",0,LEN(TRIM(Stage!K379))-LEN(SUBSTITUTE(TRIM(Stage!K379),",",""))+1)</f>
        <v>3</v>
      </c>
      <c r="I354" s="117">
        <f>Stage!O379+Stage!P379+Stage!N379+Stage!Q379+Stage!M379</f>
        <v>0</v>
      </c>
      <c r="J354" s="117">
        <f>IF(Stage!F379=0,0,I354/Stage!F379)</f>
        <v>0</v>
      </c>
      <c r="K354" s="118">
        <f t="shared" si="15"/>
        <v>31.164043413833152</v>
      </c>
      <c r="L354" s="118">
        <f t="shared" si="17"/>
        <v>39.549868116264058</v>
      </c>
      <c r="M354" s="117" t="str">
        <f t="shared" si="16"/>
        <v>보통</v>
      </c>
    </row>
    <row r="355" spans="1:13" ht="15.95" customHeight="1" x14ac:dyDescent="0.3">
      <c r="A355" s="119">
        <v>342</v>
      </c>
      <c r="B355" s="119" t="str">
        <f>Stage!C380</f>
        <v>N 342</v>
      </c>
      <c r="C355" s="119">
        <f>Stage!F380</f>
        <v>150</v>
      </c>
      <c r="D355" s="119">
        <f>IF(Stage!G380="",0,LEN(TRIM(Stage!G380))-LEN(SUBSTITUTE(TRIM(Stage!G380),",",""))+1)</f>
        <v>3</v>
      </c>
      <c r="E355" s="119">
        <f>IF(ISERROR(FIND(",",Stage!H380)),VALUE(Stage!H380),(VALUE(LEFT(Stage!H380,FIND(",",Stage!H380)-1))+VALUE(TRIM(MID(Stage!H380,FIND("|",SUBSTITUTE(Stage!H380,",","|",LEN(Stage!H380)-LEN(SUBSTITUTE(Stage!H380,",",""))))+1,100))))/2)</f>
        <v>2.5</v>
      </c>
      <c r="F355" s="119">
        <f>IF(ISERROR(FIND(",",Stage!I380)),VALUE(Stage!I380),(VALUE(LEFT(Stage!I380,FIND(",",Stage!I380)-1))+VALUE(TRIM(MID(Stage!I380,FIND("|",SUBSTITUTE(Stage!I380,",","|",LEN(Stage!I380)-LEN(SUBSTITUTE(Stage!I380,",",""))))+1,100))))/2)</f>
        <v>0.4</v>
      </c>
      <c r="G355" s="119">
        <f>IF(ISERROR(FIND(",",Stage!J380)),VALUE(Stage!J380),VALUE(LEFT(Stage!J380,FIND(",",Stage!J380)-1)))</f>
        <v>30</v>
      </c>
      <c r="H355" s="119">
        <f>IF(Stage!K380="",0,LEN(TRIM(Stage!K380))-LEN(SUBSTITUTE(TRIM(Stage!K380),",",""))+1)</f>
        <v>4</v>
      </c>
      <c r="I355" s="119">
        <f>Stage!O380+Stage!P380+Stage!N380+Stage!Q380+Stage!M380</f>
        <v>1</v>
      </c>
      <c r="J355" s="119">
        <f>IF(Stage!F380=0,0,I355/Stage!F380)</f>
        <v>6.6666666666666671E-3</v>
      </c>
      <c r="K355" s="120">
        <f t="shared" si="15"/>
        <v>38.796667868156511</v>
      </c>
      <c r="L355" s="120">
        <f t="shared" si="17"/>
        <v>40.184400390829978</v>
      </c>
      <c r="M355" s="119" t="str">
        <f t="shared" si="16"/>
        <v>보통</v>
      </c>
    </row>
    <row r="356" spans="1:13" ht="15.95" customHeight="1" x14ac:dyDescent="0.3">
      <c r="A356" s="117">
        <v>343</v>
      </c>
      <c r="B356" s="117" t="str">
        <f>Stage!C381</f>
        <v>N 343</v>
      </c>
      <c r="C356" s="117">
        <f>Stage!F381</f>
        <v>155</v>
      </c>
      <c r="D356" s="117">
        <f>IF(Stage!G381="",0,LEN(TRIM(Stage!G381))-LEN(SUBSTITUTE(TRIM(Stage!G381),",",""))+1)</f>
        <v>3</v>
      </c>
      <c r="E356" s="117">
        <f>IF(ISERROR(FIND(",",Stage!H381)),VALUE(Stage!H381),(VALUE(LEFT(Stage!H381,FIND(",",Stage!H381)-1))+VALUE(TRIM(MID(Stage!H381,FIND("|",SUBSTITUTE(Stage!H381,",","|",LEN(Stage!H381)-LEN(SUBSTITUTE(Stage!H381,",",""))))+1,100))))/2)</f>
        <v>2.5</v>
      </c>
      <c r="F356" s="117">
        <f>IF(ISERROR(FIND(",",Stage!I381)),VALUE(Stage!I381),(VALUE(LEFT(Stage!I381,FIND(",",Stage!I381)-1))+VALUE(TRIM(MID(Stage!I381,FIND("|",SUBSTITUTE(Stage!I381,",","|",LEN(Stage!I381)-LEN(SUBSTITUTE(Stage!I381,",",""))))+1,100))))/2)</f>
        <v>0.4</v>
      </c>
      <c r="G356" s="117">
        <f>IF(ISERROR(FIND(",",Stage!J381)),VALUE(Stage!J381),VALUE(LEFT(Stage!J381,FIND(",",Stage!J381)-1)))</f>
        <v>31</v>
      </c>
      <c r="H356" s="117">
        <f>IF(Stage!K381="",0,LEN(TRIM(Stage!K381))-LEN(SUBSTITUTE(TRIM(Stage!K381),",",""))+1)</f>
        <v>4</v>
      </c>
      <c r="I356" s="117">
        <f>Stage!O381+Stage!P381+Stage!N381+Stage!Q381+Stage!M381</f>
        <v>2</v>
      </c>
      <c r="J356" s="117">
        <f>IF(Stage!F381=0,0,I356/Stage!F381)</f>
        <v>1.2903225806451613E-2</v>
      </c>
      <c r="K356" s="118">
        <f t="shared" si="15"/>
        <v>39.43014499269416</v>
      </c>
      <c r="L356" s="118">
        <f t="shared" si="17"/>
        <v>41.073197703117124</v>
      </c>
      <c r="M356" s="117" t="str">
        <f t="shared" si="16"/>
        <v>보통</v>
      </c>
    </row>
    <row r="357" spans="1:13" ht="15.95" customHeight="1" x14ac:dyDescent="0.3">
      <c r="A357" s="119">
        <v>344</v>
      </c>
      <c r="B357" s="119" t="str">
        <f>Stage!C382</f>
        <v>N 344</v>
      </c>
      <c r="C357" s="119">
        <f>Stage!F382</f>
        <v>180</v>
      </c>
      <c r="D357" s="119">
        <f>IF(Stage!G382="",0,LEN(TRIM(Stage!G382))-LEN(SUBSTITUTE(TRIM(Stage!G382),",",""))+1)</f>
        <v>3</v>
      </c>
      <c r="E357" s="119">
        <f>IF(ISERROR(FIND(",",Stage!H382)),VALUE(Stage!H382),(VALUE(LEFT(Stage!H382,FIND(",",Stage!H382)-1))+VALUE(TRIM(MID(Stage!H382,FIND("|",SUBSTITUTE(Stage!H382,",","|",LEN(Stage!H382)-LEN(SUBSTITUTE(Stage!H382,",",""))))+1,100))))/2)</f>
        <v>3</v>
      </c>
      <c r="F357" s="119">
        <f>IF(ISERROR(FIND(",",Stage!I382)),VALUE(Stage!I382),(VALUE(LEFT(Stage!I382,FIND(",",Stage!I382)-1))+VALUE(TRIM(MID(Stage!I382,FIND("|",SUBSTITUTE(Stage!I382,",","|",LEN(Stage!I382)-LEN(SUBSTITUTE(Stage!I382,",",""))))+1,100))))/2)</f>
        <v>0.2</v>
      </c>
      <c r="G357" s="119">
        <f>IF(ISERROR(FIND(",",Stage!J382)),VALUE(Stage!J382),VALUE(LEFT(Stage!J382,FIND(",",Stage!J382)-1)))</f>
        <v>36</v>
      </c>
      <c r="H357" s="119">
        <f>IF(Stage!K382="",0,LEN(TRIM(Stage!K382))-LEN(SUBSTITUTE(TRIM(Stage!K382),",",""))+1)</f>
        <v>4</v>
      </c>
      <c r="I357" s="119">
        <f>Stage!O382+Stage!P382+Stage!N382+Stage!Q382+Stage!M382</f>
        <v>6</v>
      </c>
      <c r="J357" s="119">
        <f>IF(Stage!F382=0,0,I357/Stage!F382)</f>
        <v>3.3333333333333333E-2</v>
      </c>
      <c r="K357" s="120">
        <f t="shared" si="15"/>
        <v>47.050342424606512</v>
      </c>
      <c r="L357" s="120">
        <f t="shared" si="17"/>
        <v>42.599722593981795</v>
      </c>
      <c r="M357" s="119" t="str">
        <f t="shared" si="16"/>
        <v>어려움</v>
      </c>
    </row>
    <row r="358" spans="1:13" ht="15.95" customHeight="1" x14ac:dyDescent="0.3">
      <c r="A358" s="117">
        <v>345</v>
      </c>
      <c r="B358" s="117" t="str">
        <f>Stage!C383</f>
        <v>N 345</v>
      </c>
      <c r="C358" s="117">
        <f>Stage!F383</f>
        <v>195</v>
      </c>
      <c r="D358" s="117">
        <f>IF(Stage!G383="",0,LEN(TRIM(Stage!G383))-LEN(SUBSTITUTE(TRIM(Stage!G383),",",""))+1)</f>
        <v>3</v>
      </c>
      <c r="E358" s="117">
        <f>IF(ISERROR(FIND(",",Stage!H383)),VALUE(Stage!H383),(VALUE(LEFT(Stage!H383,FIND(",",Stage!H383)-1))+VALUE(TRIM(MID(Stage!H383,FIND("|",SUBSTITUTE(Stage!H383,",","|",LEN(Stage!H383)-LEN(SUBSTITUTE(Stage!H383,",",""))))+1,100))))/2)</f>
        <v>3</v>
      </c>
      <c r="F358" s="117">
        <f>IF(ISERROR(FIND(",",Stage!I383)),VALUE(Stage!I383),(VALUE(LEFT(Stage!I383,FIND(",",Stage!I383)-1))+VALUE(TRIM(MID(Stage!I383,FIND("|",SUBSTITUTE(Stage!I383,",","|",LEN(Stage!I383)-LEN(SUBSTITUTE(Stage!I383,",",""))))+1,100))))/2)</f>
        <v>0.2</v>
      </c>
      <c r="G358" s="117">
        <f>IF(ISERROR(FIND(",",Stage!J383)),VALUE(Stage!J383),VALUE(LEFT(Stage!J383,FIND(",",Stage!J383)-1)))</f>
        <v>39</v>
      </c>
      <c r="H358" s="117">
        <f>IF(Stage!K383="",0,LEN(TRIM(Stage!K383))-LEN(SUBSTITUTE(TRIM(Stage!K383),",",""))+1)</f>
        <v>4</v>
      </c>
      <c r="I358" s="117">
        <f>Stage!O383+Stage!P383+Stage!N383+Stage!Q383+Stage!M383</f>
        <v>10</v>
      </c>
      <c r="J358" s="117">
        <f>IF(Stage!F383=0,0,I358/Stage!F383)</f>
        <v>5.128205128205128E-2</v>
      </c>
      <c r="K358" s="118">
        <f t="shared" si="15"/>
        <v>48.924789816295281</v>
      </c>
      <c r="L358" s="118">
        <f t="shared" si="17"/>
        <v>43.855087246150489</v>
      </c>
      <c r="M358" s="117" t="str">
        <f t="shared" si="16"/>
        <v>어려움</v>
      </c>
    </row>
    <row r="359" spans="1:13" ht="15.95" customHeight="1" x14ac:dyDescent="0.3">
      <c r="A359" s="119">
        <v>346</v>
      </c>
      <c r="B359" s="119" t="str">
        <f>Stage!C384</f>
        <v>N 346</v>
      </c>
      <c r="C359" s="119">
        <f>Stage!F384</f>
        <v>150</v>
      </c>
      <c r="D359" s="119">
        <f>IF(Stage!G384="",0,LEN(TRIM(Stage!G384))-LEN(SUBSTITUTE(TRIM(Stage!G384),",",""))+1)</f>
        <v>3</v>
      </c>
      <c r="E359" s="119">
        <f>IF(ISERROR(FIND(",",Stage!H384)),VALUE(Stage!H384),(VALUE(LEFT(Stage!H384,FIND(",",Stage!H384)-1))+VALUE(TRIM(MID(Stage!H384,FIND("|",SUBSTITUTE(Stage!H384,",","|",LEN(Stage!H384)-LEN(SUBSTITUTE(Stage!H384,",",""))))+1,100))))/2)</f>
        <v>2.5</v>
      </c>
      <c r="F359" s="119">
        <f>IF(ISERROR(FIND(",",Stage!I384)),VALUE(Stage!I384),(VALUE(LEFT(Stage!I384,FIND(",",Stage!I384)-1))+VALUE(TRIM(MID(Stage!I384,FIND("|",SUBSTITUTE(Stage!I384,",","|",LEN(Stage!I384)-LEN(SUBSTITUTE(Stage!I384,",",""))))+1,100))))/2)</f>
        <v>0.4</v>
      </c>
      <c r="G359" s="119">
        <f>IF(ISERROR(FIND(",",Stage!J384)),VALUE(Stage!J384),VALUE(LEFT(Stage!J384,FIND(",",Stage!J384)-1)))</f>
        <v>30</v>
      </c>
      <c r="H359" s="119">
        <f>IF(Stage!K384="",0,LEN(TRIM(Stage!K384))-LEN(SUBSTITUTE(TRIM(Stage!K384),",",""))+1)</f>
        <v>4</v>
      </c>
      <c r="I359" s="119">
        <f>Stage!O384+Stage!P384+Stage!N384+Stage!Q384+Stage!M384</f>
        <v>1</v>
      </c>
      <c r="J359" s="119">
        <f>IF(Stage!F384=0,0,I359/Stage!F384)</f>
        <v>6.6666666666666671E-3</v>
      </c>
      <c r="K359" s="120">
        <f t="shared" si="15"/>
        <v>38.796667868156511</v>
      </c>
      <c r="L359" s="120">
        <f t="shared" si="17"/>
        <v>43.338147918803926</v>
      </c>
      <c r="M359" s="119" t="str">
        <f t="shared" si="16"/>
        <v>보통</v>
      </c>
    </row>
    <row r="360" spans="1:13" ht="15.95" customHeight="1" x14ac:dyDescent="0.3">
      <c r="A360" s="117">
        <v>347</v>
      </c>
      <c r="B360" s="117" t="str">
        <f>Stage!C385</f>
        <v>N 347</v>
      </c>
      <c r="C360" s="117">
        <f>Stage!F385</f>
        <v>175</v>
      </c>
      <c r="D360" s="117">
        <f>IF(Stage!G385="",0,LEN(TRIM(Stage!G385))-LEN(SUBSTITUTE(TRIM(Stage!G385),",",""))+1)</f>
        <v>3</v>
      </c>
      <c r="E360" s="117">
        <f>IF(ISERROR(FIND(",",Stage!H385)),VALUE(Stage!H385),(VALUE(LEFT(Stage!H385,FIND(",",Stage!H385)-1))+VALUE(TRIM(MID(Stage!H385,FIND("|",SUBSTITUTE(Stage!H385,",","|",LEN(Stage!H385)-LEN(SUBSTITUTE(Stage!H385,",",""))))+1,100))))/2)</f>
        <v>3</v>
      </c>
      <c r="F360" s="117">
        <f>IF(ISERROR(FIND(",",Stage!I385)),VALUE(Stage!I385),(VALUE(LEFT(Stage!I385,FIND(",",Stage!I385)-1))+VALUE(TRIM(MID(Stage!I385,FIND("|",SUBSTITUTE(Stage!I385,",","|",LEN(Stage!I385)-LEN(SUBSTITUTE(Stage!I385,",",""))))+1,100))))/2)</f>
        <v>0.3</v>
      </c>
      <c r="G360" s="117">
        <f>IF(ISERROR(FIND(",",Stage!J385)),VALUE(Stage!J385),VALUE(LEFT(Stage!J385,FIND(",",Stage!J385)-1)))</f>
        <v>35</v>
      </c>
      <c r="H360" s="117">
        <f>IF(Stage!K385="",0,LEN(TRIM(Stage!K385))-LEN(SUBSTITUTE(TRIM(Stage!K385),",",""))+1)</f>
        <v>4</v>
      </c>
      <c r="I360" s="117">
        <f>Stage!O385+Stage!P385+Stage!N385+Stage!Q385+Stage!M385</f>
        <v>5</v>
      </c>
      <c r="J360" s="117">
        <f>IF(Stage!F385=0,0,I360/Stage!F385)</f>
        <v>2.8571428571428571E-2</v>
      </c>
      <c r="K360" s="118">
        <f t="shared" si="15"/>
        <v>45.073491128999954</v>
      </c>
      <c r="L360" s="118">
        <f t="shared" si="17"/>
        <v>43.338147918803926</v>
      </c>
      <c r="M360" s="117" t="str">
        <f t="shared" si="16"/>
        <v>어려움</v>
      </c>
    </row>
    <row r="361" spans="1:13" ht="15.95" customHeight="1" x14ac:dyDescent="0.3">
      <c r="A361" s="119">
        <v>348</v>
      </c>
      <c r="B361" s="119" t="str">
        <f>Stage!C386</f>
        <v>N 348</v>
      </c>
      <c r="C361" s="119">
        <f>Stage!F386</f>
        <v>150</v>
      </c>
      <c r="D361" s="119">
        <f>IF(Stage!G386="",0,LEN(TRIM(Stage!G386))-LEN(SUBSTITUTE(TRIM(Stage!G386),",",""))+1)</f>
        <v>3</v>
      </c>
      <c r="E361" s="119">
        <f>IF(ISERROR(FIND(",",Stage!H386)),VALUE(Stage!H386),(VALUE(LEFT(Stage!H386,FIND(",",Stage!H386)-1))+VALUE(TRIM(MID(Stage!H386,FIND("|",SUBSTITUTE(Stage!H386,",","|",LEN(Stage!H386)-LEN(SUBSTITUTE(Stage!H386,",",""))))+1,100))))/2)</f>
        <v>2.5</v>
      </c>
      <c r="F361" s="119">
        <f>IF(ISERROR(FIND(",",Stage!I386)),VALUE(Stage!I386),(VALUE(LEFT(Stage!I386,FIND(",",Stage!I386)-1))+VALUE(TRIM(MID(Stage!I386,FIND("|",SUBSTITUTE(Stage!I386,",","|",LEN(Stage!I386)-LEN(SUBSTITUTE(Stage!I386,",",""))))+1,100))))/2)</f>
        <v>0.4</v>
      </c>
      <c r="G361" s="119">
        <f>IF(ISERROR(FIND(",",Stage!J386)),VALUE(Stage!J386),VALUE(LEFT(Stage!J386,FIND(",",Stage!J386)-1)))</f>
        <v>37</v>
      </c>
      <c r="H361" s="119">
        <f>IF(Stage!K386="",0,LEN(TRIM(Stage!K386))-LEN(SUBSTITUTE(TRIM(Stage!K386),",",""))+1)</f>
        <v>3</v>
      </c>
      <c r="I361" s="119">
        <f>Stage!O386+Stage!P386+Stage!N386+Stage!Q386+Stage!M386</f>
        <v>1</v>
      </c>
      <c r="J361" s="119">
        <f>IF(Stage!F386=0,0,I361/Stage!F386)</f>
        <v>6.6666666666666671E-3</v>
      </c>
      <c r="K361" s="120">
        <f t="shared" si="15"/>
        <v>36.845448355961388</v>
      </c>
      <c r="L361" s="120">
        <f t="shared" si="17"/>
        <v>43.115040163316024</v>
      </c>
      <c r="M361" s="119" t="str">
        <f t="shared" si="16"/>
        <v>보통</v>
      </c>
    </row>
    <row r="362" spans="1:13" ht="15.95" customHeight="1" x14ac:dyDescent="0.3">
      <c r="A362" s="117">
        <v>349</v>
      </c>
      <c r="B362" s="117" t="str">
        <f>Stage!C387</f>
        <v>N 349</v>
      </c>
      <c r="C362" s="117">
        <f>Stage!F387</f>
        <v>180</v>
      </c>
      <c r="D362" s="117">
        <f>IF(Stage!G387="",0,LEN(TRIM(Stage!G387))-LEN(SUBSTITUTE(TRIM(Stage!G387),",",""))+1)</f>
        <v>3</v>
      </c>
      <c r="E362" s="117">
        <f>IF(ISERROR(FIND(",",Stage!H387)),VALUE(Stage!H387),(VALUE(LEFT(Stage!H387,FIND(",",Stage!H387)-1))+VALUE(TRIM(MID(Stage!H387,FIND("|",SUBSTITUTE(Stage!H387,",","|",LEN(Stage!H387)-LEN(SUBSTITUTE(Stage!H387,",",""))))+1,100))))/2)</f>
        <v>3</v>
      </c>
      <c r="F362" s="117">
        <f>IF(ISERROR(FIND(",",Stage!I387)),VALUE(Stage!I387),(VALUE(LEFT(Stage!I387,FIND(",",Stage!I387)-1))+VALUE(TRIM(MID(Stage!I387,FIND("|",SUBSTITUTE(Stage!I387,",","|",LEN(Stage!I387)-LEN(SUBSTITUTE(Stage!I387,",",""))))+1,100))))/2)</f>
        <v>0.2</v>
      </c>
      <c r="G362" s="117">
        <f>IF(ISERROR(FIND(",",Stage!J387)),VALUE(Stage!J387),VALUE(LEFT(Stage!J387,FIND(",",Stage!J387)-1)))</f>
        <v>36</v>
      </c>
      <c r="H362" s="117">
        <f>IF(Stage!K387="",0,LEN(TRIM(Stage!K387))-LEN(SUBSTITUTE(TRIM(Stage!K387),",",""))+1)</f>
        <v>4</v>
      </c>
      <c r="I362" s="117">
        <f>Stage!O387+Stage!P387+Stage!N387+Stage!Q387+Stage!M387</f>
        <v>6</v>
      </c>
      <c r="J362" s="117">
        <f>IF(Stage!F387=0,0,I362/Stage!F387)</f>
        <v>3.3333333333333333E-2</v>
      </c>
      <c r="K362" s="118">
        <f t="shared" si="15"/>
        <v>47.050342424606512</v>
      </c>
      <c r="L362" s="118">
        <f t="shared" si="17"/>
        <v>42.426954937636182</v>
      </c>
      <c r="M362" s="117" t="str">
        <f t="shared" si="16"/>
        <v>어려움</v>
      </c>
    </row>
    <row r="363" spans="1:13" ht="15.95" customHeight="1" x14ac:dyDescent="0.3">
      <c r="A363" s="119">
        <v>350</v>
      </c>
      <c r="B363" s="119" t="str">
        <f>Stage!C388</f>
        <v>N 350</v>
      </c>
      <c r="C363" s="119">
        <f>Stage!F388</f>
        <v>185</v>
      </c>
      <c r="D363" s="119">
        <f>IF(Stage!G388="",0,LEN(TRIM(Stage!G388))-LEN(SUBSTITUTE(TRIM(Stage!G388),",",""))+1)</f>
        <v>3</v>
      </c>
      <c r="E363" s="119">
        <f>IF(ISERROR(FIND(",",Stage!H388)),VALUE(Stage!H388),(VALUE(LEFT(Stage!H388,FIND(",",Stage!H388)-1))+VALUE(TRIM(MID(Stage!H388,FIND("|",SUBSTITUTE(Stage!H388,",","|",LEN(Stage!H388)-LEN(SUBSTITUTE(Stage!H388,",",""))))+1,100))))/2)</f>
        <v>3</v>
      </c>
      <c r="F363" s="119">
        <f>IF(ISERROR(FIND(",",Stage!I388)),VALUE(Stage!I388),(VALUE(LEFT(Stage!I388,FIND(",",Stage!I388)-1))+VALUE(TRIM(MID(Stage!I388,FIND("|",SUBSTITUTE(Stage!I388,",","|",LEN(Stage!I388)-LEN(SUBSTITUTE(Stage!I388,",",""))))+1,100))))/2)</f>
        <v>0.2</v>
      </c>
      <c r="G363" s="119">
        <f>IF(ISERROR(FIND(",",Stage!J388)),VALUE(Stage!J388),VALUE(LEFT(Stage!J388,FIND(",",Stage!J388)-1)))</f>
        <v>37</v>
      </c>
      <c r="H363" s="119">
        <f>IF(Stage!K388="",0,LEN(TRIM(Stage!K388))-LEN(SUBSTITUTE(TRIM(Stage!K388),",",""))+1)</f>
        <v>4</v>
      </c>
      <c r="I363" s="119">
        <f>Stage!O388+Stage!P388+Stage!N388+Stage!Q388+Stage!M388</f>
        <v>8</v>
      </c>
      <c r="J363" s="119">
        <f>IF(Stage!F388=0,0,I363/Stage!F388)</f>
        <v>4.3243243243243246E-2</v>
      </c>
      <c r="K363" s="120">
        <f t="shared" si="15"/>
        <v>47.809251038855756</v>
      </c>
      <c r="L363" s="120">
        <f t="shared" si="17"/>
        <v>41.298285710375019</v>
      </c>
      <c r="M363" s="119" t="str">
        <f t="shared" si="16"/>
        <v>어려움</v>
      </c>
    </row>
    <row r="364" spans="1:13" ht="15.95" customHeight="1" x14ac:dyDescent="0.3">
      <c r="A364" s="117">
        <v>351</v>
      </c>
      <c r="B364" s="117" t="str">
        <f>Stage!C389</f>
        <v>N 351</v>
      </c>
      <c r="C364" s="117">
        <f>Stage!F389</f>
        <v>135</v>
      </c>
      <c r="D364" s="117">
        <f>IF(Stage!G389="",0,LEN(TRIM(Stage!G389))-LEN(SUBSTITUTE(TRIM(Stage!G389),",",""))+1)</f>
        <v>3</v>
      </c>
      <c r="E364" s="117">
        <f>IF(ISERROR(FIND(",",Stage!H389)),VALUE(Stage!H389),(VALUE(LEFT(Stage!H389,FIND(",",Stage!H389)-1))+VALUE(TRIM(MID(Stage!H389,FIND("|",SUBSTITUTE(Stage!H389,",","|",LEN(Stage!H389)-LEN(SUBSTITUTE(Stage!H389,",",""))))+1,100))))/2)</f>
        <v>2.5</v>
      </c>
      <c r="F364" s="117">
        <f>IF(ISERROR(FIND(",",Stage!I389)),VALUE(Stage!I389),(VALUE(LEFT(Stage!I389,FIND(",",Stage!I389)-1))+VALUE(TRIM(MID(Stage!I389,FIND("|",SUBSTITUTE(Stage!I389,",","|",LEN(Stage!I389)-LEN(SUBSTITUTE(Stage!I389,",",""))))+1,100))))/2)</f>
        <v>0.4</v>
      </c>
      <c r="G364" s="117">
        <f>IF(ISERROR(FIND(",",Stage!J389)),VALUE(Stage!J389),VALUE(LEFT(Stage!J389,FIND(",",Stage!J389)-1)))</f>
        <v>33</v>
      </c>
      <c r="H364" s="117">
        <f>IF(Stage!K389="",0,LEN(TRIM(Stage!K389))-LEN(SUBSTITUTE(TRIM(Stage!K389),",",""))+1)</f>
        <v>3</v>
      </c>
      <c r="I364" s="117">
        <f>Stage!O389+Stage!P389+Stage!N389+Stage!Q389+Stage!M389</f>
        <v>0</v>
      </c>
      <c r="J364" s="117">
        <f>IF(Stage!F389=0,0,I364/Stage!F389)</f>
        <v>0</v>
      </c>
      <c r="K364" s="118">
        <f t="shared" si="15"/>
        <v>35.356241739757294</v>
      </c>
      <c r="L364" s="118">
        <f t="shared" si="17"/>
        <v>42.218004161254115</v>
      </c>
      <c r="M364" s="117" t="str">
        <f t="shared" si="16"/>
        <v>보통</v>
      </c>
    </row>
    <row r="365" spans="1:13" ht="15.95" customHeight="1" x14ac:dyDescent="0.3">
      <c r="A365" s="119">
        <v>352</v>
      </c>
      <c r="B365" s="119" t="str">
        <f>Stage!C390</f>
        <v>N 352</v>
      </c>
      <c r="C365" s="119">
        <f>Stage!F390</f>
        <v>155</v>
      </c>
      <c r="D365" s="119">
        <f>IF(Stage!G390="",0,LEN(TRIM(Stage!G390))-LEN(SUBSTITUTE(TRIM(Stage!G390),",",""))+1)</f>
        <v>3</v>
      </c>
      <c r="E365" s="119">
        <f>IF(ISERROR(FIND(",",Stage!H390)),VALUE(Stage!H390),(VALUE(LEFT(Stage!H390,FIND(",",Stage!H390)-1))+VALUE(TRIM(MID(Stage!H390,FIND("|",SUBSTITUTE(Stage!H390,",","|",LEN(Stage!H390)-LEN(SUBSTITUTE(Stage!H390,",",""))))+1,100))))/2)</f>
        <v>2.5</v>
      </c>
      <c r="F365" s="119">
        <f>IF(ISERROR(FIND(",",Stage!I390)),VALUE(Stage!I390),(VALUE(LEFT(Stage!I390,FIND(",",Stage!I390)-1))+VALUE(TRIM(MID(Stage!I390,FIND("|",SUBSTITUTE(Stage!I390,",","|",LEN(Stage!I390)-LEN(SUBSTITUTE(Stage!I390,",",""))))+1,100))))/2)</f>
        <v>0.4</v>
      </c>
      <c r="G365" s="119">
        <f>IF(ISERROR(FIND(",",Stage!J390)),VALUE(Stage!J390),VALUE(LEFT(Stage!J390,FIND(",",Stage!J390)-1)))</f>
        <v>31</v>
      </c>
      <c r="H365" s="119">
        <f>IF(Stage!K390="",0,LEN(TRIM(Stage!K390))-LEN(SUBSTITUTE(TRIM(Stage!K390),",",""))+1)</f>
        <v>4</v>
      </c>
      <c r="I365" s="119">
        <f>Stage!O390+Stage!P390+Stage!N390+Stage!Q390+Stage!M390</f>
        <v>2</v>
      </c>
      <c r="J365" s="119">
        <f>IF(Stage!F390=0,0,I365/Stage!F390)</f>
        <v>1.2903225806451613E-2</v>
      </c>
      <c r="K365" s="120">
        <f t="shared" si="15"/>
        <v>39.43014499269416</v>
      </c>
      <c r="L365" s="120">
        <f t="shared" si="17"/>
        <v>41.704096327304718</v>
      </c>
      <c r="M365" s="119" t="str">
        <f t="shared" si="16"/>
        <v>보통</v>
      </c>
    </row>
    <row r="366" spans="1:13" ht="15.95" customHeight="1" x14ac:dyDescent="0.3">
      <c r="A366" s="117">
        <v>353</v>
      </c>
      <c r="B366" s="117" t="str">
        <f>Stage!C391</f>
        <v>N 353</v>
      </c>
      <c r="C366" s="117">
        <f>Stage!F391</f>
        <v>160</v>
      </c>
      <c r="D366" s="117">
        <f>IF(Stage!G391="",0,LEN(TRIM(Stage!G391))-LEN(SUBSTITUTE(TRIM(Stage!G391),",",""))+1)</f>
        <v>3</v>
      </c>
      <c r="E366" s="117">
        <f>IF(ISERROR(FIND(",",Stage!H391)),VALUE(Stage!H391),(VALUE(LEFT(Stage!H391,FIND(",",Stage!H391)-1))+VALUE(TRIM(MID(Stage!H391,FIND("|",SUBSTITUTE(Stage!H391,",","|",LEN(Stage!H391)-LEN(SUBSTITUTE(Stage!H391,",",""))))+1,100))))/2)</f>
        <v>2.5</v>
      </c>
      <c r="F366" s="117">
        <f>IF(ISERROR(FIND(",",Stage!I391)),VALUE(Stage!I391),(VALUE(LEFT(Stage!I391,FIND(",",Stage!I391)-1))+VALUE(TRIM(MID(Stage!I391,FIND("|",SUBSTITUTE(Stage!I391,",","|",LEN(Stage!I391)-LEN(SUBSTITUTE(Stage!I391,",",""))))+1,100))))/2)</f>
        <v>0.3</v>
      </c>
      <c r="G366" s="117">
        <f>IF(ISERROR(FIND(",",Stage!J391)),VALUE(Stage!J391),VALUE(LEFT(Stage!J391,FIND(",",Stage!J391)-1)))</f>
        <v>32</v>
      </c>
      <c r="H366" s="117">
        <f>IF(Stage!K391="",0,LEN(TRIM(Stage!K391))-LEN(SUBSTITUTE(TRIM(Stage!K391),",",""))+1)</f>
        <v>4</v>
      </c>
      <c r="I366" s="117">
        <f>Stage!O391+Stage!P391+Stage!N391+Stage!Q391+Stage!M391</f>
        <v>3</v>
      </c>
      <c r="J366" s="117">
        <f>IF(Stage!F391=0,0,I366/Stage!F391)</f>
        <v>1.8749999999999999E-2</v>
      </c>
      <c r="K366" s="118">
        <f t="shared" si="15"/>
        <v>41.444040610356844</v>
      </c>
      <c r="L366" s="118">
        <f t="shared" si="17"/>
        <v>39.381703046122539</v>
      </c>
      <c r="M366" s="117" t="str">
        <f t="shared" si="16"/>
        <v>보통</v>
      </c>
    </row>
    <row r="367" spans="1:13" ht="15.95" customHeight="1" x14ac:dyDescent="0.3">
      <c r="A367" s="119">
        <v>354</v>
      </c>
      <c r="B367" s="119" t="str">
        <f>Stage!C392</f>
        <v>N 354</v>
      </c>
      <c r="C367" s="119">
        <f>Stage!F392</f>
        <v>170</v>
      </c>
      <c r="D367" s="119">
        <f>IF(Stage!G392="",0,LEN(TRIM(Stage!G392))-LEN(SUBSTITUTE(TRIM(Stage!G392),",",""))+1)</f>
        <v>3</v>
      </c>
      <c r="E367" s="119">
        <f>IF(ISERROR(FIND(",",Stage!H392)),VALUE(Stage!H392),(VALUE(LEFT(Stage!H392,FIND(",",Stage!H392)-1))+VALUE(TRIM(MID(Stage!H392,FIND("|",SUBSTITUTE(Stage!H392,",","|",LEN(Stage!H392)-LEN(SUBSTITUTE(Stage!H392,",",""))))+1,100))))/2)</f>
        <v>3</v>
      </c>
      <c r="F367" s="119">
        <f>IF(ISERROR(FIND(",",Stage!I392)),VALUE(Stage!I392),(VALUE(LEFT(Stage!I392,FIND(",",Stage!I392)-1))+VALUE(TRIM(MID(Stage!I392,FIND("|",SUBSTITUTE(Stage!I392,",","|",LEN(Stage!I392)-LEN(SUBSTITUTE(Stage!I392,",",""))))+1,100))))/2)</f>
        <v>0.3</v>
      </c>
      <c r="G367" s="119">
        <f>IF(ISERROR(FIND(",",Stage!J392)),VALUE(Stage!J392),VALUE(LEFT(Stage!J392,FIND(",",Stage!J392)-1)))</f>
        <v>34</v>
      </c>
      <c r="H367" s="119">
        <f>IF(Stage!K392="",0,LEN(TRIM(Stage!K392))-LEN(SUBSTITUTE(TRIM(Stage!K392),",",""))+1)</f>
        <v>4</v>
      </c>
      <c r="I367" s="119">
        <f>Stage!O392+Stage!P392+Stage!N392+Stage!Q392+Stage!M392</f>
        <v>4</v>
      </c>
      <c r="J367" s="119">
        <f>IF(Stage!F392=0,0,I367/Stage!F392)</f>
        <v>2.3529411764705882E-2</v>
      </c>
      <c r="K367" s="120">
        <f t="shared" si="15"/>
        <v>44.480803254859552</v>
      </c>
      <c r="L367" s="120">
        <f t="shared" si="17"/>
        <v>37.72204507023244</v>
      </c>
      <c r="M367" s="119" t="str">
        <f t="shared" si="16"/>
        <v>보통</v>
      </c>
    </row>
    <row r="368" spans="1:13" ht="15.95" customHeight="1" x14ac:dyDescent="0.3">
      <c r="A368" s="117">
        <v>355</v>
      </c>
      <c r="B368" s="117" t="str">
        <f>Stage!C393</f>
        <v>N 355</v>
      </c>
      <c r="C368" s="117">
        <f>Stage!F393</f>
        <v>145</v>
      </c>
      <c r="D368" s="117">
        <f>IF(Stage!G393="",0,LEN(TRIM(Stage!G393))-LEN(SUBSTITUTE(TRIM(Stage!G393),",",""))+1)</f>
        <v>3</v>
      </c>
      <c r="E368" s="117">
        <f>IF(ISERROR(FIND(",",Stage!H393)),VALUE(Stage!H393),(VALUE(LEFT(Stage!H393,FIND(",",Stage!H393)-1))+VALUE(TRIM(MID(Stage!H393,FIND("|",SUBSTITUTE(Stage!H393,",","|",LEN(Stage!H393)-LEN(SUBSTITUTE(Stage!H393,",",""))))+1,100))))/2)</f>
        <v>2.5</v>
      </c>
      <c r="F368" s="117">
        <f>IF(ISERROR(FIND(",",Stage!I393)),VALUE(Stage!I393),(VALUE(LEFT(Stage!I393,FIND(",",Stage!I393)-1))+VALUE(TRIM(MID(Stage!I393,FIND("|",SUBSTITUTE(Stage!I393,",","|",LEN(Stage!I393)-LEN(SUBSTITUTE(Stage!I393,",",""))))+1,100))))/2)</f>
        <v>0.4</v>
      </c>
      <c r="G368" s="117">
        <f>IF(ISERROR(FIND(",",Stage!J393)),VALUE(Stage!J393),VALUE(LEFT(Stage!J393,FIND(",",Stage!J393)-1)))</f>
        <v>36</v>
      </c>
      <c r="H368" s="117">
        <f>IF(Stage!K393="",0,LEN(TRIM(Stage!K393))-LEN(SUBSTITUTE(TRIM(Stage!K393),",",""))+1)</f>
        <v>3</v>
      </c>
      <c r="I368" s="117">
        <f>Stage!O393+Stage!P393+Stage!N393+Stage!Q393+Stage!M393</f>
        <v>0</v>
      </c>
      <c r="J368" s="117">
        <f>IF(Stage!F393=0,0,I368/Stage!F393)</f>
        <v>0</v>
      </c>
      <c r="K368" s="118">
        <f t="shared" si="15"/>
        <v>36.19728463294485</v>
      </c>
      <c r="L368" s="118">
        <f t="shared" si="17"/>
        <v>36.991368708963819</v>
      </c>
      <c r="M368" s="117" t="str">
        <f t="shared" si="16"/>
        <v>보통</v>
      </c>
    </row>
    <row r="369" spans="1:13" ht="15.95" customHeight="1" x14ac:dyDescent="0.3">
      <c r="A369" s="119">
        <v>356</v>
      </c>
      <c r="B369" s="119" t="str">
        <f>Stage!C394</f>
        <v>N 356</v>
      </c>
      <c r="C369" s="119">
        <f>Stage!F394</f>
        <v>75</v>
      </c>
      <c r="D369" s="119">
        <f>IF(Stage!G394="",0,LEN(TRIM(Stage!G394))-LEN(SUBSTITUTE(TRIM(Stage!G394),",",""))+1)</f>
        <v>2</v>
      </c>
      <c r="E369" s="119">
        <f>IF(ISERROR(FIND(",",Stage!H394)),VALUE(Stage!H394),(VALUE(LEFT(Stage!H394,FIND(",",Stage!H394)-1))+VALUE(TRIM(MID(Stage!H394,FIND("|",SUBSTITUTE(Stage!H394,",","|",LEN(Stage!H394)-LEN(SUBSTITUTE(Stage!H394,",",""))))+1,100))))/2)</f>
        <v>2</v>
      </c>
      <c r="F369" s="119">
        <f>IF(ISERROR(FIND(",",Stage!I394)),VALUE(Stage!I394),(VALUE(LEFT(Stage!I394,FIND(",",Stage!I394)-1))+VALUE(TRIM(MID(Stage!I394,FIND("|",SUBSTITUTE(Stage!I394,",","|",LEN(Stage!I394)-LEN(SUBSTITUTE(Stage!I394,",",""))))+1,100))))/2)</f>
        <v>0.6</v>
      </c>
      <c r="G369" s="119">
        <f>IF(ISERROR(FIND(",",Stage!J394)),VALUE(Stage!J394),VALUE(LEFT(Stage!J394,FIND(",",Stage!J394)-1)))</f>
        <v>18</v>
      </c>
      <c r="H369" s="119">
        <f>IF(Stage!K394="",0,LEN(TRIM(Stage!K394))-LEN(SUBSTITUTE(TRIM(Stage!K394),",",""))+1)</f>
        <v>3</v>
      </c>
      <c r="I369" s="119">
        <f>Stage!O394+Stage!P394+Stage!N394+Stage!Q394+Stage!M394</f>
        <v>0</v>
      </c>
      <c r="J369" s="119">
        <f>IF(Stage!F394=0,0,I369/Stage!F394)</f>
        <v>0</v>
      </c>
      <c r="K369" s="120">
        <f t="shared" si="15"/>
        <v>27.057951860306783</v>
      </c>
      <c r="L369" s="120">
        <f t="shared" si="17"/>
        <v>38.11262907181375</v>
      </c>
      <c r="M369" s="119" t="str">
        <f t="shared" si="16"/>
        <v>보통</v>
      </c>
    </row>
    <row r="370" spans="1:13" ht="15.95" customHeight="1" x14ac:dyDescent="0.3">
      <c r="A370" s="117">
        <v>357</v>
      </c>
      <c r="B370" s="117" t="str">
        <f>Stage!C395</f>
        <v>N 357</v>
      </c>
      <c r="C370" s="117">
        <f>Stage!F395</f>
        <v>140</v>
      </c>
      <c r="D370" s="117">
        <f>IF(Stage!G395="",0,LEN(TRIM(Stage!G395))-LEN(SUBSTITUTE(TRIM(Stage!G395),",",""))+1)</f>
        <v>3</v>
      </c>
      <c r="E370" s="117">
        <f>IF(ISERROR(FIND(",",Stage!H395)),VALUE(Stage!H395),(VALUE(LEFT(Stage!H395,FIND(",",Stage!H395)-1))+VALUE(TRIM(MID(Stage!H395,FIND("|",SUBSTITUTE(Stage!H395,",","|",LEN(Stage!H395)-LEN(SUBSTITUTE(Stage!H395,",",""))))+1,100))))/2)</f>
        <v>2.5</v>
      </c>
      <c r="F370" s="117">
        <f>IF(ISERROR(FIND(",",Stage!I395)),VALUE(Stage!I395),(VALUE(LEFT(Stage!I395,FIND(",",Stage!I395)-1))+VALUE(TRIM(MID(Stage!I395,FIND("|",SUBSTITUTE(Stage!I395,",","|",LEN(Stage!I395)-LEN(SUBSTITUTE(Stage!I395,",",""))))+1,100))))/2)</f>
        <v>0.4</v>
      </c>
      <c r="G370" s="117">
        <f>IF(ISERROR(FIND(",",Stage!J395)),VALUE(Stage!J395),VALUE(LEFT(Stage!J395,FIND(",",Stage!J395)-1)))</f>
        <v>35</v>
      </c>
      <c r="H370" s="117">
        <f>IF(Stage!K395="",0,LEN(TRIM(Stage!K395))-LEN(SUBSTITUTE(TRIM(Stage!K395),",",""))+1)</f>
        <v>3</v>
      </c>
      <c r="I370" s="117">
        <f>Stage!O395+Stage!P395+Stage!N395+Stage!Q395+Stage!M395</f>
        <v>0</v>
      </c>
      <c r="J370" s="117">
        <f>IF(Stage!F395=0,0,I370/Stage!F395)</f>
        <v>0</v>
      </c>
      <c r="K370" s="118">
        <f t="shared" si="15"/>
        <v>35.776763186351076</v>
      </c>
      <c r="L370" s="118">
        <f t="shared" si="17"/>
        <v>36.455925347430806</v>
      </c>
      <c r="M370" s="117" t="str">
        <f t="shared" si="16"/>
        <v>보통</v>
      </c>
    </row>
    <row r="371" spans="1:13" ht="15.95" customHeight="1" x14ac:dyDescent="0.3">
      <c r="A371" s="119">
        <v>358</v>
      </c>
      <c r="B371" s="119" t="str">
        <f>Stage!C396</f>
        <v>N 358</v>
      </c>
      <c r="C371" s="119">
        <f>Stage!F396</f>
        <v>180</v>
      </c>
      <c r="D371" s="119">
        <f>IF(Stage!G396="",0,LEN(TRIM(Stage!G396))-LEN(SUBSTITUTE(TRIM(Stage!G396),",",""))+1)</f>
        <v>3</v>
      </c>
      <c r="E371" s="119">
        <f>IF(ISERROR(FIND(",",Stage!H396)),VALUE(Stage!H396),(VALUE(LEFT(Stage!H396,FIND(",",Stage!H396)-1))+VALUE(TRIM(MID(Stage!H396,FIND("|",SUBSTITUTE(Stage!H396,",","|",LEN(Stage!H396)-LEN(SUBSTITUTE(Stage!H396,",",""))))+1,100))))/2)</f>
        <v>3</v>
      </c>
      <c r="F371" s="119">
        <f>IF(ISERROR(FIND(",",Stage!I396)),VALUE(Stage!I396),(VALUE(LEFT(Stage!I396,FIND(",",Stage!I396)-1))+VALUE(TRIM(MID(Stage!I396,FIND("|",SUBSTITUTE(Stage!I396,",","|",LEN(Stage!I396)-LEN(SUBSTITUTE(Stage!I396,",",""))))+1,100))))/2)</f>
        <v>0.2</v>
      </c>
      <c r="G371" s="119">
        <f>IF(ISERROR(FIND(",",Stage!J396)),VALUE(Stage!J396),VALUE(LEFT(Stage!J396,FIND(",",Stage!J396)-1)))</f>
        <v>36</v>
      </c>
      <c r="H371" s="119">
        <f>IF(Stage!K396="",0,LEN(TRIM(Stage!K396))-LEN(SUBSTITUTE(TRIM(Stage!K396),",",""))+1)</f>
        <v>4</v>
      </c>
      <c r="I371" s="119">
        <f>Stage!O396+Stage!P396+Stage!N396+Stage!Q396+Stage!M396</f>
        <v>6</v>
      </c>
      <c r="J371" s="119">
        <f>IF(Stage!F396=0,0,I371/Stage!F396)</f>
        <v>3.3333333333333333E-2</v>
      </c>
      <c r="K371" s="120">
        <f t="shared" si="15"/>
        <v>47.050342424606512</v>
      </c>
      <c r="L371" s="120">
        <f t="shared" si="17"/>
        <v>38.309850881760056</v>
      </c>
      <c r="M371" s="119" t="str">
        <f t="shared" si="16"/>
        <v>어려움</v>
      </c>
    </row>
    <row r="372" spans="1:13" ht="15.95" customHeight="1" x14ac:dyDescent="0.3">
      <c r="A372" s="117">
        <v>359</v>
      </c>
      <c r="B372" s="117" t="str">
        <f>Stage!C397</f>
        <v>N 359</v>
      </c>
      <c r="C372" s="117">
        <f>Stage!F397</f>
        <v>145</v>
      </c>
      <c r="D372" s="117">
        <f>IF(Stage!G397="",0,LEN(TRIM(Stage!G397))-LEN(SUBSTITUTE(TRIM(Stage!G397),",",""))+1)</f>
        <v>3</v>
      </c>
      <c r="E372" s="117">
        <f>IF(ISERROR(FIND(",",Stage!H397)),VALUE(Stage!H397),(VALUE(LEFT(Stage!H397,FIND(",",Stage!H397)-1))+VALUE(TRIM(MID(Stage!H397,FIND("|",SUBSTITUTE(Stage!H397,",","|",LEN(Stage!H397)-LEN(SUBSTITUTE(Stage!H397,",",""))))+1,100))))/2)</f>
        <v>2.5</v>
      </c>
      <c r="F372" s="117">
        <f>IF(ISERROR(FIND(",",Stage!I397)),VALUE(Stage!I397),(VALUE(LEFT(Stage!I397,FIND(",",Stage!I397)-1))+VALUE(TRIM(MID(Stage!I397,FIND("|",SUBSTITUTE(Stage!I397,",","|",LEN(Stage!I397)-LEN(SUBSTITUTE(Stage!I397,",",""))))+1,100))))/2)</f>
        <v>0.4</v>
      </c>
      <c r="G372" s="117">
        <f>IF(ISERROR(FIND(",",Stage!J397)),VALUE(Stage!J397),VALUE(LEFT(Stage!J397,FIND(",",Stage!J397)-1)))</f>
        <v>36</v>
      </c>
      <c r="H372" s="117">
        <f>IF(Stage!K397="",0,LEN(TRIM(Stage!K397))-LEN(SUBSTITUTE(TRIM(Stage!K397),",",""))+1)</f>
        <v>3</v>
      </c>
      <c r="I372" s="117">
        <f>Stage!O397+Stage!P397+Stage!N397+Stage!Q397+Stage!M397</f>
        <v>0</v>
      </c>
      <c r="J372" s="117">
        <f>IF(Stage!F397=0,0,I372/Stage!F397)</f>
        <v>0</v>
      </c>
      <c r="K372" s="118">
        <f t="shared" si="15"/>
        <v>36.19728463294485</v>
      </c>
      <c r="L372" s="118">
        <f t="shared" si="17"/>
        <v>40.657594083329997</v>
      </c>
      <c r="M372" s="117" t="str">
        <f t="shared" si="16"/>
        <v>보통</v>
      </c>
    </row>
    <row r="373" spans="1:13" ht="15.95" customHeight="1" x14ac:dyDescent="0.3">
      <c r="A373" s="119">
        <v>360</v>
      </c>
      <c r="B373" s="119" t="str">
        <f>Stage!C398</f>
        <v>N 360</v>
      </c>
      <c r="C373" s="119">
        <f>Stage!F398</f>
        <v>180</v>
      </c>
      <c r="D373" s="119">
        <f>IF(Stage!G398="",0,LEN(TRIM(Stage!G398))-LEN(SUBSTITUTE(TRIM(Stage!G398),",",""))+1)</f>
        <v>3</v>
      </c>
      <c r="E373" s="119">
        <f>IF(ISERROR(FIND(",",Stage!H398)),VALUE(Stage!H398),(VALUE(LEFT(Stage!H398,FIND(",",Stage!H398)-1))+VALUE(TRIM(MID(Stage!H398,FIND("|",SUBSTITUTE(Stage!H398,",","|",LEN(Stage!H398)-LEN(SUBSTITUTE(Stage!H398,",",""))))+1,100))))/2)</f>
        <v>3</v>
      </c>
      <c r="F373" s="119">
        <f>IF(ISERROR(FIND(",",Stage!I398)),VALUE(Stage!I398),(VALUE(LEFT(Stage!I398,FIND(",",Stage!I398)-1))+VALUE(TRIM(MID(Stage!I398,FIND("|",SUBSTITUTE(Stage!I398,",","|",LEN(Stage!I398)-LEN(SUBSTITUTE(Stage!I398,",",""))))+1,100))))/2)</f>
        <v>0.3</v>
      </c>
      <c r="G373" s="119">
        <f>IF(ISERROR(FIND(",",Stage!J398)),VALUE(Stage!J398),VALUE(LEFT(Stage!J398,FIND(",",Stage!J398)-1)))</f>
        <v>36</v>
      </c>
      <c r="H373" s="119">
        <f>IF(Stage!K398="",0,LEN(TRIM(Stage!K398))-LEN(SUBSTITUTE(TRIM(Stage!K398),",",""))+1)</f>
        <v>4</v>
      </c>
      <c r="I373" s="119">
        <f>Stage!O398+Stage!P398+Stage!N398+Stage!Q398+Stage!M398</f>
        <v>5</v>
      </c>
      <c r="J373" s="119">
        <f>IF(Stage!F398=0,0,I373/Stage!F398)</f>
        <v>2.7777777777777776E-2</v>
      </c>
      <c r="K373" s="120">
        <f t="shared" si="15"/>
        <v>45.46691230459102</v>
      </c>
      <c r="L373" s="120">
        <f t="shared" si="17"/>
        <v>41.871273591374511</v>
      </c>
      <c r="M373" s="119" t="str">
        <f t="shared" si="16"/>
        <v>어려움</v>
      </c>
    </row>
    <row r="374" spans="1:13" ht="15.95" customHeight="1" x14ac:dyDescent="0.3">
      <c r="A374" s="117">
        <v>361</v>
      </c>
      <c r="B374" s="117" t="str">
        <f>Stage!C399</f>
        <v>N 361</v>
      </c>
      <c r="C374" s="117">
        <f>Stage!F399</f>
        <v>150</v>
      </c>
      <c r="D374" s="117">
        <f>IF(Stage!G399="",0,LEN(TRIM(Stage!G399))-LEN(SUBSTITUTE(TRIM(Stage!G399),",",""))+1)</f>
        <v>3</v>
      </c>
      <c r="E374" s="117">
        <f>IF(ISERROR(FIND(",",Stage!H399)),VALUE(Stage!H399),(VALUE(LEFT(Stage!H399,FIND(",",Stage!H399)-1))+VALUE(TRIM(MID(Stage!H399,FIND("|",SUBSTITUTE(Stage!H399,",","|",LEN(Stage!H399)-LEN(SUBSTITUTE(Stage!H399,",",""))))+1,100))))/2)</f>
        <v>2.5</v>
      </c>
      <c r="F374" s="117">
        <f>IF(ISERROR(FIND(",",Stage!I399)),VALUE(Stage!I399),(VALUE(LEFT(Stage!I399,FIND(",",Stage!I399)-1))+VALUE(TRIM(MID(Stage!I399,FIND("|",SUBSTITUTE(Stage!I399,",","|",LEN(Stage!I399)-LEN(SUBSTITUTE(Stage!I399,",",""))))+1,100))))/2)</f>
        <v>0.4</v>
      </c>
      <c r="G374" s="117">
        <f>IF(ISERROR(FIND(",",Stage!J399)),VALUE(Stage!J399),VALUE(LEFT(Stage!J399,FIND(",",Stage!J399)-1)))</f>
        <v>30</v>
      </c>
      <c r="H374" s="117">
        <f>IF(Stage!K399="",0,LEN(TRIM(Stage!K399))-LEN(SUBSTITUTE(TRIM(Stage!K399),",",""))+1)</f>
        <v>4</v>
      </c>
      <c r="I374" s="117">
        <f>Stage!O399+Stage!P399+Stage!N399+Stage!Q399+Stage!M399</f>
        <v>1</v>
      </c>
      <c r="J374" s="117">
        <f>IF(Stage!F399=0,0,I374/Stage!F399)</f>
        <v>6.6666666666666671E-3</v>
      </c>
      <c r="K374" s="118">
        <f t="shared" si="15"/>
        <v>38.796667868156511</v>
      </c>
      <c r="L374" s="118">
        <f t="shared" si="17"/>
        <v>42.35565822832433</v>
      </c>
      <c r="M374" s="117" t="str">
        <f t="shared" si="16"/>
        <v>보통</v>
      </c>
    </row>
    <row r="375" spans="1:13" ht="15.95" customHeight="1" x14ac:dyDescent="0.3">
      <c r="A375" s="119">
        <v>362</v>
      </c>
      <c r="B375" s="119" t="str">
        <f>Stage!C400</f>
        <v>N 362</v>
      </c>
      <c r="C375" s="119">
        <f>Stage!F400</f>
        <v>165</v>
      </c>
      <c r="D375" s="119">
        <f>IF(Stage!G400="",0,LEN(TRIM(Stage!G400))-LEN(SUBSTITUTE(TRIM(Stage!G400),",",""))+1)</f>
        <v>3</v>
      </c>
      <c r="E375" s="119">
        <f>IF(ISERROR(FIND(",",Stage!H400)),VALUE(Stage!H400),(VALUE(LEFT(Stage!H400,FIND(",",Stage!H400)-1))+VALUE(TRIM(MID(Stage!H400,FIND("|",SUBSTITUTE(Stage!H400,",","|",LEN(Stage!H400)-LEN(SUBSTITUTE(Stage!H400,",",""))))+1,100))))/2)</f>
        <v>2.5</v>
      </c>
      <c r="F375" s="119">
        <f>IF(ISERROR(FIND(",",Stage!I400)),VALUE(Stage!I400),(VALUE(LEFT(Stage!I400,FIND(",",Stage!I400)-1))+VALUE(TRIM(MID(Stage!I400,FIND("|",SUBSTITUTE(Stage!I400,",","|",LEN(Stage!I400)-LEN(SUBSTITUTE(Stage!I400,",",""))))+1,100))))/2)</f>
        <v>0.3</v>
      </c>
      <c r="G375" s="119">
        <f>IF(ISERROR(FIND(",",Stage!J400)),VALUE(Stage!J400),VALUE(LEFT(Stage!J400,FIND(",",Stage!J400)-1)))</f>
        <v>33</v>
      </c>
      <c r="H375" s="119">
        <f>IF(Stage!K400="",0,LEN(TRIM(Stage!K400))-LEN(SUBSTITUTE(TRIM(Stage!K400),",",""))+1)</f>
        <v>4</v>
      </c>
      <c r="I375" s="119">
        <f>Stage!O400+Stage!P400+Stage!N400+Stage!Q400+Stage!M400</f>
        <v>3</v>
      </c>
      <c r="J375" s="119">
        <f>IF(Stage!F400=0,0,I375/Stage!F400)</f>
        <v>1.8181818181818181E-2</v>
      </c>
      <c r="K375" s="120">
        <f t="shared" si="15"/>
        <v>41.845160726573674</v>
      </c>
      <c r="L375" s="120">
        <f t="shared" si="17"/>
        <v>44.52626978665667</v>
      </c>
      <c r="M375" s="119" t="str">
        <f t="shared" si="16"/>
        <v>보통</v>
      </c>
    </row>
    <row r="376" spans="1:13" ht="15.95" customHeight="1" x14ac:dyDescent="0.3">
      <c r="A376" s="117">
        <v>363</v>
      </c>
      <c r="B376" s="117" t="str">
        <f>Stage!C401</f>
        <v>N 363</v>
      </c>
      <c r="C376" s="117">
        <f>Stage!F401</f>
        <v>200</v>
      </c>
      <c r="D376" s="117">
        <f>IF(Stage!G401="",0,LEN(TRIM(Stage!G401))-LEN(SUBSTITUTE(TRIM(Stage!G401),",",""))+1)</f>
        <v>3</v>
      </c>
      <c r="E376" s="117">
        <f>IF(ISERROR(FIND(",",Stage!H401)),VALUE(Stage!H401),(VALUE(LEFT(Stage!H401,FIND(",",Stage!H401)-1))+VALUE(TRIM(MID(Stage!H401,FIND("|",SUBSTITUTE(Stage!H401,",","|",LEN(Stage!H401)-LEN(SUBSTITUTE(Stage!H401,",",""))))+1,100))))/2)</f>
        <v>3</v>
      </c>
      <c r="F376" s="117">
        <f>IF(ISERROR(FIND(",",Stage!I401)),VALUE(Stage!I401),(VALUE(LEFT(Stage!I401,FIND(",",Stage!I401)-1))+VALUE(TRIM(MID(Stage!I401,FIND("|",SUBSTITUTE(Stage!I401,",","|",LEN(Stage!I401)-LEN(SUBSTITUTE(Stage!I401,",",""))))+1,100))))/2)</f>
        <v>0.2</v>
      </c>
      <c r="G376" s="117">
        <f>IF(ISERROR(FIND(",",Stage!J401)),VALUE(Stage!J401),VALUE(LEFT(Stage!J401,FIND(",",Stage!J401)-1)))</f>
        <v>40</v>
      </c>
      <c r="H376" s="117">
        <f>IF(Stage!K401="",0,LEN(TRIM(Stage!K401))-LEN(SUBSTITUTE(TRIM(Stage!K401),",",""))+1)</f>
        <v>4</v>
      </c>
      <c r="I376" s="117">
        <f>Stage!O401+Stage!P401+Stage!N401+Stage!Q401+Stage!M401</f>
        <v>11</v>
      </c>
      <c r="J376" s="117">
        <f>IF(Stage!F401=0,0,I376/Stage!F401)</f>
        <v>5.5E-2</v>
      </c>
      <c r="K376" s="118">
        <f t="shared" si="15"/>
        <v>49.472265609355603</v>
      </c>
      <c r="L376" s="118">
        <f t="shared" si="17"/>
        <v>44.447585551538459</v>
      </c>
      <c r="M376" s="117" t="str">
        <f t="shared" si="16"/>
        <v>어려움</v>
      </c>
    </row>
    <row r="377" spans="1:13" ht="15.95" customHeight="1" x14ac:dyDescent="0.3">
      <c r="A377" s="119">
        <v>364</v>
      </c>
      <c r="B377" s="119" t="str">
        <f>Stage!C402</f>
        <v>N 364</v>
      </c>
      <c r="C377" s="119">
        <f>Stage!F402</f>
        <v>180</v>
      </c>
      <c r="D377" s="119">
        <f>IF(Stage!G402="",0,LEN(TRIM(Stage!G402))-LEN(SUBSTITUTE(TRIM(Stage!G402),",",""))+1)</f>
        <v>3</v>
      </c>
      <c r="E377" s="119">
        <f>IF(ISERROR(FIND(",",Stage!H402)),VALUE(Stage!H402),(VALUE(LEFT(Stage!H402,FIND(",",Stage!H402)-1))+VALUE(TRIM(MID(Stage!H402,FIND("|",SUBSTITUTE(Stage!H402,",","|",LEN(Stage!H402)-LEN(SUBSTITUTE(Stage!H402,",",""))))+1,100))))/2)</f>
        <v>3</v>
      </c>
      <c r="F377" s="119">
        <f>IF(ISERROR(FIND(",",Stage!I402)),VALUE(Stage!I402),(VALUE(LEFT(Stage!I402,FIND(",",Stage!I402)-1))+VALUE(TRIM(MID(Stage!I402,FIND("|",SUBSTITUTE(Stage!I402,",","|",LEN(Stage!I402)-LEN(SUBSTITUTE(Stage!I402,",",""))))+1,100))))/2)</f>
        <v>0.2</v>
      </c>
      <c r="G377" s="119">
        <f>IF(ISERROR(FIND(",",Stage!J402)),VALUE(Stage!J402),VALUE(LEFT(Stage!J402,FIND(",",Stage!J402)-1)))</f>
        <v>36</v>
      </c>
      <c r="H377" s="119">
        <f>IF(Stage!K402="",0,LEN(TRIM(Stage!K402))-LEN(SUBSTITUTE(TRIM(Stage!K402),",",""))+1)</f>
        <v>4</v>
      </c>
      <c r="I377" s="119">
        <f>Stage!O402+Stage!P402+Stage!N402+Stage!Q402+Stage!M402</f>
        <v>6</v>
      </c>
      <c r="J377" s="119">
        <f>IF(Stage!F402=0,0,I377/Stage!F402)</f>
        <v>3.3333333333333333E-2</v>
      </c>
      <c r="K377" s="120">
        <f t="shared" si="15"/>
        <v>47.050342424606512</v>
      </c>
      <c r="L377" s="120">
        <f t="shared" si="17"/>
        <v>44.447585551538452</v>
      </c>
      <c r="M377" s="119" t="str">
        <f t="shared" si="16"/>
        <v>어려움</v>
      </c>
    </row>
    <row r="378" spans="1:13" ht="15.95" customHeight="1" x14ac:dyDescent="0.3">
      <c r="A378" s="117">
        <v>365</v>
      </c>
      <c r="B378" s="117" t="str">
        <f>Stage!C403</f>
        <v>N 365</v>
      </c>
      <c r="C378" s="117">
        <f>Stage!F403</f>
        <v>175</v>
      </c>
      <c r="D378" s="117">
        <f>IF(Stage!G403="",0,LEN(TRIM(Stage!G403))-LEN(SUBSTITUTE(TRIM(Stage!G403),",",""))+1)</f>
        <v>3</v>
      </c>
      <c r="E378" s="117">
        <f>IF(ISERROR(FIND(",",Stage!H403)),VALUE(Stage!H403),(VALUE(LEFT(Stage!H403,FIND(",",Stage!H403)-1))+VALUE(TRIM(MID(Stage!H403,FIND("|",SUBSTITUTE(Stage!H403,",","|",LEN(Stage!H403)-LEN(SUBSTITUTE(Stage!H403,",",""))))+1,100))))/2)</f>
        <v>3</v>
      </c>
      <c r="F378" s="117">
        <f>IF(ISERROR(FIND(",",Stage!I403)),VALUE(Stage!I403),(VALUE(LEFT(Stage!I403,FIND(",",Stage!I403)-1))+VALUE(TRIM(MID(Stage!I403,FIND("|",SUBSTITUTE(Stage!I403,",","|",LEN(Stage!I403)-LEN(SUBSTITUTE(Stage!I403,",",""))))+1,100))))/2)</f>
        <v>0.3</v>
      </c>
      <c r="G378" s="117">
        <f>IF(ISERROR(FIND(",",Stage!J403)),VALUE(Stage!J403),VALUE(LEFT(Stage!J403,FIND(",",Stage!J403)-1)))</f>
        <v>35</v>
      </c>
      <c r="H378" s="117">
        <f>IF(Stage!K403="",0,LEN(TRIM(Stage!K403))-LEN(SUBSTITUTE(TRIM(Stage!K403),",",""))+1)</f>
        <v>4</v>
      </c>
      <c r="I378" s="117">
        <f>Stage!O403+Stage!P403+Stage!N403+Stage!Q403+Stage!M403</f>
        <v>5</v>
      </c>
      <c r="J378" s="117">
        <f>IF(Stage!F403=0,0,I378/Stage!F403)</f>
        <v>2.8571428571428571E-2</v>
      </c>
      <c r="K378" s="118">
        <f t="shared" si="15"/>
        <v>45.073491128999954</v>
      </c>
      <c r="L378" s="118">
        <f t="shared" si="17"/>
        <v>44.045932956866508</v>
      </c>
      <c r="M378" s="117" t="str">
        <f t="shared" si="16"/>
        <v>어려움</v>
      </c>
    </row>
    <row r="379" spans="1:13" ht="15.95" customHeight="1" x14ac:dyDescent="0.3">
      <c r="A379" s="119">
        <v>366</v>
      </c>
      <c r="B379" s="119" t="str">
        <f>Stage!C404</f>
        <v>N 366</v>
      </c>
      <c r="C379" s="119">
        <f>Stage!F404</f>
        <v>150</v>
      </c>
      <c r="D379" s="119">
        <f>IF(Stage!G404="",0,LEN(TRIM(Stage!G404))-LEN(SUBSTITUTE(TRIM(Stage!G404),",",""))+1)</f>
        <v>3</v>
      </c>
      <c r="E379" s="119">
        <f>IF(ISERROR(FIND(",",Stage!H404)),VALUE(Stage!H404),(VALUE(LEFT(Stage!H404,FIND(",",Stage!H404)-1))+VALUE(TRIM(MID(Stage!H404,FIND("|",SUBSTITUTE(Stage!H404,",","|",LEN(Stage!H404)-LEN(SUBSTITUTE(Stage!H404,",",""))))+1,100))))/2)</f>
        <v>2.5</v>
      </c>
      <c r="F379" s="119">
        <f>IF(ISERROR(FIND(",",Stage!I404)),VALUE(Stage!I404),(VALUE(LEFT(Stage!I404,FIND(",",Stage!I404)-1))+VALUE(TRIM(MID(Stage!I404,FIND("|",SUBSTITUTE(Stage!I404,",","|",LEN(Stage!I404)-LEN(SUBSTITUTE(Stage!I404,",",""))))+1,100))))/2)</f>
        <v>0.4</v>
      </c>
      <c r="G379" s="119">
        <f>IF(ISERROR(FIND(",",Stage!J404)),VALUE(Stage!J404),VALUE(LEFT(Stage!J404,FIND(",",Stage!J404)-1)))</f>
        <v>30</v>
      </c>
      <c r="H379" s="119">
        <f>IF(Stage!K404="",0,LEN(TRIM(Stage!K404))-LEN(SUBSTITUTE(TRIM(Stage!K404),",",""))+1)</f>
        <v>4</v>
      </c>
      <c r="I379" s="119">
        <f>Stage!O404+Stage!P404+Stage!N404+Stage!Q404+Stage!M404</f>
        <v>1</v>
      </c>
      <c r="J379" s="119">
        <f>IF(Stage!F404=0,0,I379/Stage!F404)</f>
        <v>6.6666666666666671E-3</v>
      </c>
      <c r="K379" s="120">
        <f t="shared" si="15"/>
        <v>38.796667868156511</v>
      </c>
      <c r="L379" s="120">
        <f t="shared" si="17"/>
        <v>43.936437798254445</v>
      </c>
      <c r="M379" s="119" t="str">
        <f t="shared" si="16"/>
        <v>보통</v>
      </c>
    </row>
    <row r="380" spans="1:13" ht="15.95" customHeight="1" x14ac:dyDescent="0.3">
      <c r="A380" s="117">
        <v>367</v>
      </c>
      <c r="B380" s="117" t="str">
        <f>Stage!C405</f>
        <v>N 367</v>
      </c>
      <c r="C380" s="117">
        <f>Stage!F405</f>
        <v>160</v>
      </c>
      <c r="D380" s="117">
        <f>IF(Stage!G405="",0,LEN(TRIM(Stage!G405))-LEN(SUBSTITUTE(TRIM(Stage!G405),",",""))+1)</f>
        <v>3</v>
      </c>
      <c r="E380" s="117">
        <f>IF(ISERROR(FIND(",",Stage!H405)),VALUE(Stage!H405),(VALUE(LEFT(Stage!H405,FIND(",",Stage!H405)-1))+VALUE(TRIM(MID(Stage!H405,FIND("|",SUBSTITUTE(Stage!H405,",","|",LEN(Stage!H405)-LEN(SUBSTITUTE(Stage!H405,",",""))))+1,100))))/2)</f>
        <v>2.5</v>
      </c>
      <c r="F380" s="117">
        <f>IF(ISERROR(FIND(",",Stage!I405)),VALUE(Stage!I405),(VALUE(LEFT(Stage!I405,FIND(",",Stage!I405)-1))+VALUE(TRIM(MID(Stage!I405,FIND("|",SUBSTITUTE(Stage!I405,",","|",LEN(Stage!I405)-LEN(SUBSTITUTE(Stage!I405,",",""))))+1,100))))/2)</f>
        <v>0.4</v>
      </c>
      <c r="G380" s="117">
        <f>IF(ISERROR(FIND(",",Stage!J405)),VALUE(Stage!J405),VALUE(LEFT(Stage!J405,FIND(",",Stage!J405)-1)))</f>
        <v>32</v>
      </c>
      <c r="H380" s="117">
        <f>IF(Stage!K405="",0,LEN(TRIM(Stage!K405))-LEN(SUBSTITUTE(TRIM(Stage!K405),",",""))+1)</f>
        <v>4</v>
      </c>
      <c r="I380" s="117">
        <f>Stage!O405+Stage!P405+Stage!N405+Stage!Q405+Stage!M405</f>
        <v>2</v>
      </c>
      <c r="J380" s="117">
        <f>IF(Stage!F405=0,0,I380/Stage!F405)</f>
        <v>1.2500000000000001E-2</v>
      </c>
      <c r="K380" s="118">
        <f t="shared" si="15"/>
        <v>39.836897753213982</v>
      </c>
      <c r="L380" s="118">
        <f t="shared" si="17"/>
        <v>41.812924641940619</v>
      </c>
      <c r="M380" s="117" t="str">
        <f t="shared" si="16"/>
        <v>보통</v>
      </c>
    </row>
    <row r="381" spans="1:13" ht="15.95" customHeight="1" x14ac:dyDescent="0.3">
      <c r="A381" s="119">
        <v>368</v>
      </c>
      <c r="B381" s="119" t="str">
        <f>Stage!C406</f>
        <v>N 368</v>
      </c>
      <c r="C381" s="119">
        <f>Stage!F406</f>
        <v>195</v>
      </c>
      <c r="D381" s="119">
        <f>IF(Stage!G406="",0,LEN(TRIM(Stage!G406))-LEN(SUBSTITUTE(TRIM(Stage!G406),",",""))+1)</f>
        <v>3</v>
      </c>
      <c r="E381" s="119">
        <f>IF(ISERROR(FIND(",",Stage!H406)),VALUE(Stage!H406),(VALUE(LEFT(Stage!H406,FIND(",",Stage!H406)-1))+VALUE(TRIM(MID(Stage!H406,FIND("|",SUBSTITUTE(Stage!H406,",","|",LEN(Stage!H406)-LEN(SUBSTITUTE(Stage!H406,",",""))))+1,100))))/2)</f>
        <v>3</v>
      </c>
      <c r="F381" s="119">
        <f>IF(ISERROR(FIND(",",Stage!I406)),VALUE(Stage!I406),(VALUE(LEFT(Stage!I406,FIND(",",Stage!I406)-1))+VALUE(TRIM(MID(Stage!I406,FIND("|",SUBSTITUTE(Stage!I406,",","|",LEN(Stage!I406)-LEN(SUBSTITUTE(Stage!I406,",",""))))+1,100))))/2)</f>
        <v>0.2</v>
      </c>
      <c r="G381" s="119">
        <f>IF(ISERROR(FIND(",",Stage!J406)),VALUE(Stage!J406),VALUE(LEFT(Stage!J406,FIND(",",Stage!J406)-1)))</f>
        <v>39</v>
      </c>
      <c r="H381" s="119">
        <f>IF(Stage!K406="",0,LEN(TRIM(Stage!K406))-LEN(SUBSTITUTE(TRIM(Stage!K406),",",""))+1)</f>
        <v>4</v>
      </c>
      <c r="I381" s="119">
        <f>Stage!O406+Stage!P406+Stage!N406+Stage!Q406+Stage!M406</f>
        <v>10</v>
      </c>
      <c r="J381" s="119">
        <f>IF(Stage!F406=0,0,I381/Stage!F406)</f>
        <v>5.128205128205128E-2</v>
      </c>
      <c r="K381" s="120">
        <f t="shared" si="15"/>
        <v>48.924789816295281</v>
      </c>
      <c r="L381" s="120">
        <f t="shared" si="17"/>
        <v>41.087034538211995</v>
      </c>
      <c r="M381" s="119" t="str">
        <f t="shared" si="16"/>
        <v>어려움</v>
      </c>
    </row>
    <row r="382" spans="1:13" ht="15.95" customHeight="1" x14ac:dyDescent="0.3">
      <c r="A382" s="117">
        <v>369</v>
      </c>
      <c r="B382" s="117" t="str">
        <f>Stage!C407</f>
        <v>N 369</v>
      </c>
      <c r="C382" s="117">
        <f>Stage!F407</f>
        <v>145</v>
      </c>
      <c r="D382" s="117">
        <f>IF(Stage!G407="",0,LEN(TRIM(Stage!G407))-LEN(SUBSTITUTE(TRIM(Stage!G407),",",""))+1)</f>
        <v>3</v>
      </c>
      <c r="E382" s="117">
        <f>IF(ISERROR(FIND(",",Stage!H407)),VALUE(Stage!H407),(VALUE(LEFT(Stage!H407,FIND(",",Stage!H407)-1))+VALUE(TRIM(MID(Stage!H407,FIND("|",SUBSTITUTE(Stage!H407,",","|",LEN(Stage!H407)-LEN(SUBSTITUTE(Stage!H407,",",""))))+1,100))))/2)</f>
        <v>2.5</v>
      </c>
      <c r="F382" s="117">
        <f>IF(ISERROR(FIND(",",Stage!I407)),VALUE(Stage!I407),(VALUE(LEFT(Stage!I407,FIND(",",Stage!I407)-1))+VALUE(TRIM(MID(Stage!I407,FIND("|",SUBSTITUTE(Stage!I407,",","|",LEN(Stage!I407)-LEN(SUBSTITUTE(Stage!I407,",",""))))+1,100))))/2)</f>
        <v>0.4</v>
      </c>
      <c r="G382" s="117">
        <f>IF(ISERROR(FIND(",",Stage!J407)),VALUE(Stage!J407),VALUE(LEFT(Stage!J407,FIND(",",Stage!J407)-1)))</f>
        <v>36</v>
      </c>
      <c r="H382" s="117">
        <f>IF(Stage!K407="",0,LEN(TRIM(Stage!K407))-LEN(SUBSTITUTE(TRIM(Stage!K407),",",""))+1)</f>
        <v>3</v>
      </c>
      <c r="I382" s="117">
        <f>Stage!O407+Stage!P407+Stage!N407+Stage!Q407+Stage!M407</f>
        <v>1</v>
      </c>
      <c r="J382" s="117">
        <f>IF(Stage!F407=0,0,I382/Stage!F407)</f>
        <v>6.8965517241379309E-3</v>
      </c>
      <c r="K382" s="118">
        <f t="shared" si="15"/>
        <v>36.432776643037371</v>
      </c>
      <c r="L382" s="118">
        <f t="shared" si="17"/>
        <v>40.483053601850912</v>
      </c>
      <c r="M382" s="117" t="str">
        <f t="shared" si="16"/>
        <v>보통</v>
      </c>
    </row>
    <row r="383" spans="1:13" ht="15.95" customHeight="1" x14ac:dyDescent="0.3">
      <c r="A383" s="119">
        <v>370</v>
      </c>
      <c r="B383" s="119" t="str">
        <f>Stage!C408</f>
        <v>N 370</v>
      </c>
      <c r="C383" s="119">
        <f>Stage!F408</f>
        <v>160</v>
      </c>
      <c r="D383" s="119">
        <f>IF(Stage!G408="",0,LEN(TRIM(Stage!G408))-LEN(SUBSTITUTE(TRIM(Stage!G408),",",""))+1)</f>
        <v>3</v>
      </c>
      <c r="E383" s="119">
        <f>IF(ISERROR(FIND(",",Stage!H408)),VALUE(Stage!H408),(VALUE(LEFT(Stage!H408,FIND(",",Stage!H408)-1))+VALUE(TRIM(MID(Stage!H408,FIND("|",SUBSTITUTE(Stage!H408,",","|",LEN(Stage!H408)-LEN(SUBSTITUTE(Stage!H408,",",""))))+1,100))))/2)</f>
        <v>2.5</v>
      </c>
      <c r="F383" s="119">
        <f>IF(ISERROR(FIND(",",Stage!I408)),VALUE(Stage!I408),(VALUE(LEFT(Stage!I408,FIND(",",Stage!I408)-1))+VALUE(TRIM(MID(Stage!I408,FIND("|",SUBSTITUTE(Stage!I408,",","|",LEN(Stage!I408)-LEN(SUBSTITUTE(Stage!I408,",",""))))+1,100))))/2)</f>
        <v>0.3</v>
      </c>
      <c r="G383" s="119">
        <f>IF(ISERROR(FIND(",",Stage!J408)),VALUE(Stage!J408),VALUE(LEFT(Stage!J408,FIND(",",Stage!J408)-1)))</f>
        <v>32</v>
      </c>
      <c r="H383" s="119">
        <f>IF(Stage!K408="",0,LEN(TRIM(Stage!K408))-LEN(SUBSTITUTE(TRIM(Stage!K408),",",""))+1)</f>
        <v>4</v>
      </c>
      <c r="I383" s="119">
        <f>Stage!O408+Stage!P408+Stage!N408+Stage!Q408+Stage!M408</f>
        <v>3</v>
      </c>
      <c r="J383" s="119">
        <f>IF(Stage!F408=0,0,I383/Stage!F408)</f>
        <v>1.8749999999999999E-2</v>
      </c>
      <c r="K383" s="120">
        <f t="shared" si="15"/>
        <v>41.444040610356844</v>
      </c>
      <c r="L383" s="120">
        <f t="shared" si="17"/>
        <v>38.73346411088211</v>
      </c>
      <c r="M383" s="119" t="str">
        <f t="shared" si="16"/>
        <v>보통</v>
      </c>
    </row>
    <row r="384" spans="1:13" ht="15.95" customHeight="1" x14ac:dyDescent="0.3">
      <c r="A384" s="117">
        <v>371</v>
      </c>
      <c r="B384" s="117" t="str">
        <f>Stage!C409</f>
        <v>N 371</v>
      </c>
      <c r="C384" s="117">
        <f>Stage!F409</f>
        <v>140</v>
      </c>
      <c r="D384" s="117">
        <f>IF(Stage!G409="",0,LEN(TRIM(Stage!G409))-LEN(SUBSTITUTE(TRIM(Stage!G409),",",""))+1)</f>
        <v>3</v>
      </c>
      <c r="E384" s="117">
        <f>IF(ISERROR(FIND(",",Stage!H409)),VALUE(Stage!H409),(VALUE(LEFT(Stage!H409,FIND(",",Stage!H409)-1))+VALUE(TRIM(MID(Stage!H409,FIND("|",SUBSTITUTE(Stage!H409,",","|",LEN(Stage!H409)-LEN(SUBSTITUTE(Stage!H409,",",""))))+1,100))))/2)</f>
        <v>2.5</v>
      </c>
      <c r="F384" s="117">
        <f>IF(ISERROR(FIND(",",Stage!I409)),VALUE(Stage!I409),(VALUE(LEFT(Stage!I409,FIND(",",Stage!I409)-1))+VALUE(TRIM(MID(Stage!I409,FIND("|",SUBSTITUTE(Stage!I409,",","|",LEN(Stage!I409)-LEN(SUBSTITUTE(Stage!I409,",",""))))+1,100))))/2)</f>
        <v>0.4</v>
      </c>
      <c r="G384" s="117">
        <f>IF(ISERROR(FIND(",",Stage!J409)),VALUE(Stage!J409),VALUE(LEFT(Stage!J409,FIND(",",Stage!J409)-1)))</f>
        <v>35</v>
      </c>
      <c r="H384" s="117">
        <f>IF(Stage!K409="",0,LEN(TRIM(Stage!K409))-LEN(SUBSTITUTE(TRIM(Stage!K409),",",""))+1)</f>
        <v>3</v>
      </c>
      <c r="I384" s="117">
        <f>Stage!O409+Stage!P409+Stage!N409+Stage!Q409+Stage!M409</f>
        <v>0</v>
      </c>
      <c r="J384" s="117">
        <f>IF(Stage!F409=0,0,I384/Stage!F409)</f>
        <v>0</v>
      </c>
      <c r="K384" s="118">
        <f t="shared" si="15"/>
        <v>35.776763186351076</v>
      </c>
      <c r="L384" s="118">
        <f t="shared" si="17"/>
        <v>38.84295926949418</v>
      </c>
      <c r="M384" s="117" t="str">
        <f t="shared" si="16"/>
        <v>보통</v>
      </c>
    </row>
    <row r="385" spans="1:13" ht="15.95" customHeight="1" x14ac:dyDescent="0.3">
      <c r="A385" s="119">
        <v>372</v>
      </c>
      <c r="B385" s="119" t="str">
        <f>Stage!C410</f>
        <v>N 372</v>
      </c>
      <c r="C385" s="119">
        <f>Stage!F410</f>
        <v>125</v>
      </c>
      <c r="D385" s="119">
        <f>IF(Stage!G410="",0,LEN(TRIM(Stage!G410))-LEN(SUBSTITUTE(TRIM(Stage!G410),",",""))+1)</f>
        <v>3</v>
      </c>
      <c r="E385" s="119">
        <f>IF(ISERROR(FIND(",",Stage!H410)),VALUE(Stage!H410),(VALUE(LEFT(Stage!H410,FIND(",",Stage!H410)-1))+VALUE(TRIM(MID(Stage!H410,FIND("|",SUBSTITUTE(Stage!H410,",","|",LEN(Stage!H410)-LEN(SUBSTITUTE(Stage!H410,",",""))))+1,100))))/2)</f>
        <v>2</v>
      </c>
      <c r="F385" s="119">
        <f>IF(ISERROR(FIND(",",Stage!I410)),VALUE(Stage!I410),(VALUE(LEFT(Stage!I410,FIND(",",Stage!I410)-1))+VALUE(TRIM(MID(Stage!I410,FIND("|",SUBSTITUTE(Stage!I410,",","|",LEN(Stage!I410)-LEN(SUBSTITUTE(Stage!I410,",",""))))+1,100))))/2)</f>
        <v>0.5</v>
      </c>
      <c r="G385" s="119">
        <f>IF(ISERROR(FIND(",",Stage!J410)),VALUE(Stage!J410),VALUE(LEFT(Stage!J410,FIND(",",Stage!J410)-1)))</f>
        <v>31</v>
      </c>
      <c r="H385" s="119">
        <f>IF(Stage!K410="",0,LEN(TRIM(Stage!K410))-LEN(SUBSTITUTE(TRIM(Stage!K410),",",""))+1)</f>
        <v>3</v>
      </c>
      <c r="I385" s="119">
        <f>Stage!O410+Stage!P410+Stage!N410+Stage!Q410+Stage!M410</f>
        <v>0</v>
      </c>
      <c r="J385" s="119">
        <f>IF(Stage!F410=0,0,I385/Stage!F410)</f>
        <v>0</v>
      </c>
      <c r="K385" s="120">
        <f t="shared" si="15"/>
        <v>31.088950298369983</v>
      </c>
      <c r="L385" s="120">
        <f t="shared" si="17"/>
        <v>39.398373143988863</v>
      </c>
      <c r="M385" s="119" t="str">
        <f t="shared" si="16"/>
        <v>보통</v>
      </c>
    </row>
    <row r="386" spans="1:13" ht="15.95" customHeight="1" x14ac:dyDescent="0.3">
      <c r="A386" s="117">
        <v>373</v>
      </c>
      <c r="B386" s="117" t="str">
        <f>Stage!C411</f>
        <v>N 373</v>
      </c>
      <c r="C386" s="117">
        <f>Stage!F411</f>
        <v>200</v>
      </c>
      <c r="D386" s="117">
        <f>IF(Stage!G411="",0,LEN(TRIM(Stage!G411))-LEN(SUBSTITUTE(TRIM(Stage!G411),",",""))+1)</f>
        <v>3</v>
      </c>
      <c r="E386" s="117">
        <f>IF(ISERROR(FIND(",",Stage!H411)),VALUE(Stage!H411),(VALUE(LEFT(Stage!H411,FIND(",",Stage!H411)-1))+VALUE(TRIM(MID(Stage!H411,FIND("|",SUBSTITUTE(Stage!H411,",","|",LEN(Stage!H411)-LEN(SUBSTITUTE(Stage!H411,",",""))))+1,100))))/2)</f>
        <v>3</v>
      </c>
      <c r="F386" s="117">
        <f>IF(ISERROR(FIND(",",Stage!I411)),VALUE(Stage!I411),(VALUE(LEFT(Stage!I411,FIND(",",Stage!I411)-1))+VALUE(TRIM(MID(Stage!I411,FIND("|",SUBSTITUTE(Stage!I411,",","|",LEN(Stage!I411)-LEN(SUBSTITUTE(Stage!I411,",",""))))+1,100))))/2)</f>
        <v>0.2</v>
      </c>
      <c r="G386" s="117">
        <f>IF(ISERROR(FIND(",",Stage!J411)),VALUE(Stage!J411),VALUE(LEFT(Stage!J411,FIND(",",Stage!J411)-1)))</f>
        <v>40</v>
      </c>
      <c r="H386" s="117">
        <f>IF(Stage!K411="",0,LEN(TRIM(Stage!K411))-LEN(SUBSTITUTE(TRIM(Stage!K411),",",""))+1)</f>
        <v>4</v>
      </c>
      <c r="I386" s="117">
        <f>Stage!O411+Stage!P411+Stage!N411+Stage!Q411+Stage!M411</f>
        <v>11</v>
      </c>
      <c r="J386" s="117">
        <f>IF(Stage!F411=0,0,I386/Stage!F411)</f>
        <v>5.5E-2</v>
      </c>
      <c r="K386" s="118">
        <f t="shared" si="15"/>
        <v>49.472265609355603</v>
      </c>
      <c r="L386" s="118">
        <f t="shared" si="17"/>
        <v>40.045897839316957</v>
      </c>
      <c r="M386" s="117" t="str">
        <f t="shared" si="16"/>
        <v>어려움</v>
      </c>
    </row>
    <row r="387" spans="1:13" ht="15.95" customHeight="1" x14ac:dyDescent="0.3">
      <c r="A387" s="119">
        <v>374</v>
      </c>
      <c r="B387" s="119" t="str">
        <f>Stage!C412</f>
        <v>N 374</v>
      </c>
      <c r="C387" s="119">
        <f>Stage!F412</f>
        <v>155</v>
      </c>
      <c r="D387" s="119">
        <f>IF(Stage!G412="",0,LEN(TRIM(Stage!G412))-LEN(SUBSTITUTE(TRIM(Stage!G412),",",""))+1)</f>
        <v>3</v>
      </c>
      <c r="E387" s="119">
        <f>IF(ISERROR(FIND(",",Stage!H412)),VALUE(Stage!H412),(VALUE(LEFT(Stage!H412,FIND(",",Stage!H412)-1))+VALUE(TRIM(MID(Stage!H412,FIND("|",SUBSTITUTE(Stage!H412,",","|",LEN(Stage!H412)-LEN(SUBSTITUTE(Stage!H412,",",""))))+1,100))))/2)</f>
        <v>2.5</v>
      </c>
      <c r="F387" s="119">
        <f>IF(ISERROR(FIND(",",Stage!I412)),VALUE(Stage!I412),(VALUE(LEFT(Stage!I412,FIND(",",Stage!I412)-1))+VALUE(TRIM(MID(Stage!I412,FIND("|",SUBSTITUTE(Stage!I412,",","|",LEN(Stage!I412)-LEN(SUBSTITUTE(Stage!I412,",",""))))+1,100))))/2)</f>
        <v>0.4</v>
      </c>
      <c r="G387" s="119">
        <f>IF(ISERROR(FIND(",",Stage!J412)),VALUE(Stage!J412),VALUE(LEFT(Stage!J412,FIND(",",Stage!J412)-1)))</f>
        <v>31</v>
      </c>
      <c r="H387" s="119">
        <f>IF(Stage!K412="",0,LEN(TRIM(Stage!K412))-LEN(SUBSTITUTE(TRIM(Stage!K412),",",""))+1)</f>
        <v>4</v>
      </c>
      <c r="I387" s="119">
        <f>Stage!O412+Stage!P412+Stage!N412+Stage!Q412+Stage!M412</f>
        <v>1</v>
      </c>
      <c r="J387" s="119">
        <f>IF(Stage!F412=0,0,I387/Stage!F412)</f>
        <v>6.4516129032258064E-3</v>
      </c>
      <c r="K387" s="120">
        <f t="shared" si="15"/>
        <v>39.209846015510841</v>
      </c>
      <c r="L387" s="120">
        <f t="shared" si="17"/>
        <v>40.857924752689534</v>
      </c>
      <c r="M387" s="119" t="str">
        <f t="shared" si="16"/>
        <v>보통</v>
      </c>
    </row>
    <row r="388" spans="1:13" ht="15.95" customHeight="1" x14ac:dyDescent="0.3">
      <c r="A388" s="117">
        <v>375</v>
      </c>
      <c r="B388" s="117" t="str">
        <f>Stage!C413</f>
        <v>N 375</v>
      </c>
      <c r="C388" s="117">
        <f>Stage!F413</f>
        <v>170</v>
      </c>
      <c r="D388" s="117">
        <f>IF(Stage!G413="",0,LEN(TRIM(Stage!G413))-LEN(SUBSTITUTE(TRIM(Stage!G413),",",""))+1)</f>
        <v>3</v>
      </c>
      <c r="E388" s="117">
        <f>IF(ISERROR(FIND(",",Stage!H413)),VALUE(Stage!H413),(VALUE(LEFT(Stage!H413,FIND(",",Stage!H413)-1))+VALUE(TRIM(MID(Stage!H413,FIND("|",SUBSTITUTE(Stage!H413,",","|",LEN(Stage!H413)-LEN(SUBSTITUTE(Stage!H413,",",""))))+1,100))))/2)</f>
        <v>3</v>
      </c>
      <c r="F388" s="117">
        <f>IF(ISERROR(FIND(",",Stage!I413)),VALUE(Stage!I413),(VALUE(LEFT(Stage!I413,FIND(",",Stage!I413)-1))+VALUE(TRIM(MID(Stage!I413,FIND("|",SUBSTITUTE(Stage!I413,",","|",LEN(Stage!I413)-LEN(SUBSTITUTE(Stage!I413,",",""))))+1,100))))/2)</f>
        <v>0.3</v>
      </c>
      <c r="G388" s="117">
        <f>IF(ISERROR(FIND(",",Stage!J413)),VALUE(Stage!J413),VALUE(LEFT(Stage!J413,FIND(",",Stage!J413)-1)))</f>
        <v>34</v>
      </c>
      <c r="H388" s="117">
        <f>IF(Stage!K413="",0,LEN(TRIM(Stage!K413))-LEN(SUBSTITUTE(TRIM(Stage!K413),",",""))+1)</f>
        <v>4</v>
      </c>
      <c r="I388" s="117">
        <f>Stage!O413+Stage!P413+Stage!N413+Stage!Q413+Stage!M413</f>
        <v>5</v>
      </c>
      <c r="J388" s="117">
        <f>IF(Stage!F413=0,0,I388/Stage!F413)</f>
        <v>2.9411764705882353E-2</v>
      </c>
      <c r="K388" s="118">
        <f t="shared" si="15"/>
        <v>44.68166408699728</v>
      </c>
      <c r="L388" s="118">
        <f t="shared" si="17"/>
        <v>43.536295343987447</v>
      </c>
      <c r="M388" s="117" t="str">
        <f t="shared" si="16"/>
        <v>보통</v>
      </c>
    </row>
    <row r="389" spans="1:13" ht="15.95" customHeight="1" x14ac:dyDescent="0.3">
      <c r="A389" s="119">
        <v>376</v>
      </c>
      <c r="B389" s="119" t="str">
        <f>Stage!C414</f>
        <v>N 376</v>
      </c>
      <c r="C389" s="119">
        <f>Stage!F414</f>
        <v>160</v>
      </c>
      <c r="D389" s="119">
        <f>IF(Stage!G414="",0,LEN(TRIM(Stage!G414))-LEN(SUBSTITUTE(TRIM(Stage!G414),",",""))+1)</f>
        <v>3</v>
      </c>
      <c r="E389" s="119">
        <f>IF(ISERROR(FIND(",",Stage!H414)),VALUE(Stage!H414),(VALUE(LEFT(Stage!H414,FIND(",",Stage!H414)-1))+VALUE(TRIM(MID(Stage!H414,FIND("|",SUBSTITUTE(Stage!H414,",","|",LEN(Stage!H414)-LEN(SUBSTITUTE(Stage!H414,",",""))))+1,100))))/2)</f>
        <v>2.5</v>
      </c>
      <c r="F389" s="119">
        <f>IF(ISERROR(FIND(",",Stage!I414)),VALUE(Stage!I414),(VALUE(LEFT(Stage!I414,FIND(",",Stage!I414)-1))+VALUE(TRIM(MID(Stage!I414,FIND("|",SUBSTITUTE(Stage!I414,",","|",LEN(Stage!I414)-LEN(SUBSTITUTE(Stage!I414,",",""))))+1,100))))/2)</f>
        <v>0.4</v>
      </c>
      <c r="G389" s="119">
        <f>IF(ISERROR(FIND(",",Stage!J414)),VALUE(Stage!J414),VALUE(LEFT(Stage!J414,FIND(",",Stage!J414)-1)))</f>
        <v>32</v>
      </c>
      <c r="H389" s="119">
        <f>IF(Stage!K414="",0,LEN(TRIM(Stage!K414))-LEN(SUBSTITUTE(TRIM(Stage!K414),",",""))+1)</f>
        <v>4</v>
      </c>
      <c r="I389" s="119">
        <f>Stage!O414+Stage!P414+Stage!N414+Stage!Q414+Stage!M414</f>
        <v>2</v>
      </c>
      <c r="J389" s="119">
        <f>IF(Stage!F414=0,0,I389/Stage!F414)</f>
        <v>1.2500000000000001E-2</v>
      </c>
      <c r="K389" s="120">
        <f t="shared" si="15"/>
        <v>39.836897753213982</v>
      </c>
      <c r="L389" s="120">
        <f t="shared" si="17"/>
        <v>41.527871220655165</v>
      </c>
      <c r="M389" s="119" t="str">
        <f t="shared" si="16"/>
        <v>보통</v>
      </c>
    </row>
    <row r="390" spans="1:13" ht="15.95" customHeight="1" x14ac:dyDescent="0.3">
      <c r="A390" s="117">
        <v>377</v>
      </c>
      <c r="B390" s="117" t="str">
        <f>Stage!C415</f>
        <v>N 377</v>
      </c>
      <c r="C390" s="117">
        <f>Stage!F415</f>
        <v>170</v>
      </c>
      <c r="D390" s="117">
        <f>IF(Stage!G415="",0,LEN(TRIM(Stage!G415))-LEN(SUBSTITUTE(TRIM(Stage!G415),",",""))+1)</f>
        <v>3</v>
      </c>
      <c r="E390" s="117">
        <f>IF(ISERROR(FIND(",",Stage!H415)),VALUE(Stage!H415),(VALUE(LEFT(Stage!H415,FIND(",",Stage!H415)-1))+VALUE(TRIM(MID(Stage!H415,FIND("|",SUBSTITUTE(Stage!H415,",","|",LEN(Stage!H415)-LEN(SUBSTITUTE(Stage!H415,",",""))))+1,100))))/2)</f>
        <v>3</v>
      </c>
      <c r="F390" s="117">
        <f>IF(ISERROR(FIND(",",Stage!I415)),VALUE(Stage!I415),(VALUE(LEFT(Stage!I415,FIND(",",Stage!I415)-1))+VALUE(TRIM(MID(Stage!I415,FIND("|",SUBSTITUTE(Stage!I415,",","|",LEN(Stage!I415)-LEN(SUBSTITUTE(Stage!I415,",",""))))+1,100))))/2)</f>
        <v>0.3</v>
      </c>
      <c r="G390" s="117">
        <f>IF(ISERROR(FIND(",",Stage!J415)),VALUE(Stage!J415),VALUE(LEFT(Stage!J415,FIND(",",Stage!J415)-1)))</f>
        <v>34</v>
      </c>
      <c r="H390" s="117">
        <f>IF(Stage!K415="",0,LEN(TRIM(Stage!K415))-LEN(SUBSTITUTE(TRIM(Stage!K415),",",""))+1)</f>
        <v>4</v>
      </c>
      <c r="I390" s="117">
        <f>Stage!O415+Stage!P415+Stage!N415+Stage!Q415+Stage!M415</f>
        <v>4</v>
      </c>
      <c r="J390" s="117">
        <f>IF(Stage!F415=0,0,I390/Stage!F415)</f>
        <v>2.3529411764705882E-2</v>
      </c>
      <c r="K390" s="118">
        <f t="shared" si="15"/>
        <v>44.480803254859552</v>
      </c>
      <c r="L390" s="118">
        <f t="shared" si="17"/>
        <v>43.095970502474287</v>
      </c>
      <c r="M390" s="117" t="str">
        <f t="shared" si="16"/>
        <v>보통</v>
      </c>
    </row>
    <row r="391" spans="1:13" ht="15.95" customHeight="1" x14ac:dyDescent="0.3">
      <c r="A391" s="119">
        <v>378</v>
      </c>
      <c r="B391" s="119" t="str">
        <f>Stage!C416</f>
        <v>N 378</v>
      </c>
      <c r="C391" s="119">
        <f>Stage!F416</f>
        <v>155</v>
      </c>
      <c r="D391" s="119">
        <f>IF(Stage!G416="",0,LEN(TRIM(Stage!G416))-LEN(SUBSTITUTE(TRIM(Stage!G416),",",""))+1)</f>
        <v>3</v>
      </c>
      <c r="E391" s="119">
        <f>IF(ISERROR(FIND(",",Stage!H416)),VALUE(Stage!H416),(VALUE(LEFT(Stage!H416,FIND(",",Stage!H416)-1))+VALUE(TRIM(MID(Stage!H416,FIND("|",SUBSTITUTE(Stage!H416,",","|",LEN(Stage!H416)-LEN(SUBSTITUTE(Stage!H416,",",""))))+1,100))))/2)</f>
        <v>2.5</v>
      </c>
      <c r="F391" s="119">
        <f>IF(ISERROR(FIND(",",Stage!I416)),VALUE(Stage!I416),(VALUE(LEFT(Stage!I416,FIND(",",Stage!I416)-1))+VALUE(TRIM(MID(Stage!I416,FIND("|",SUBSTITUTE(Stage!I416,",","|",LEN(Stage!I416)-LEN(SUBSTITUTE(Stage!I416,",",""))))+1,100))))/2)</f>
        <v>0.4</v>
      </c>
      <c r="G391" s="119">
        <f>IF(ISERROR(FIND(",",Stage!J416)),VALUE(Stage!J416),VALUE(LEFT(Stage!J416,FIND(",",Stage!J416)-1)))</f>
        <v>31</v>
      </c>
      <c r="H391" s="119">
        <f>IF(Stage!K416="",0,LEN(TRIM(Stage!K416))-LEN(SUBSTITUTE(TRIM(Stage!K416),",",""))+1)</f>
        <v>4</v>
      </c>
      <c r="I391" s="119">
        <f>Stage!O416+Stage!P416+Stage!N416+Stage!Q416+Stage!M416</f>
        <v>2</v>
      </c>
      <c r="J391" s="119">
        <f>IF(Stage!F416=0,0,I391/Stage!F416)</f>
        <v>1.2903225806451613E-2</v>
      </c>
      <c r="K391" s="120">
        <f t="shared" si="15"/>
        <v>39.43014499269416</v>
      </c>
      <c r="L391" s="120">
        <f t="shared" si="17"/>
        <v>43.055798336046749</v>
      </c>
      <c r="M391" s="119" t="str">
        <f t="shared" si="16"/>
        <v>보통</v>
      </c>
    </row>
    <row r="392" spans="1:13" ht="15.95" customHeight="1" x14ac:dyDescent="0.3">
      <c r="A392" s="117">
        <v>379</v>
      </c>
      <c r="B392" s="117" t="str">
        <f>Stage!C417</f>
        <v>N 379</v>
      </c>
      <c r="C392" s="117">
        <f>Stage!F417</f>
        <v>180</v>
      </c>
      <c r="D392" s="117">
        <f>IF(Stage!G417="",0,LEN(TRIM(Stage!G417))-LEN(SUBSTITUTE(TRIM(Stage!G417),",",""))+1)</f>
        <v>3</v>
      </c>
      <c r="E392" s="117">
        <f>IF(ISERROR(FIND(",",Stage!H417)),VALUE(Stage!H417),(VALUE(LEFT(Stage!H417,FIND(",",Stage!H417)-1))+VALUE(TRIM(MID(Stage!H417,FIND("|",SUBSTITUTE(Stage!H417,",","|",LEN(Stage!H417)-LEN(SUBSTITUTE(Stage!H417,",",""))))+1,100))))/2)</f>
        <v>3</v>
      </c>
      <c r="F392" s="117">
        <f>IF(ISERROR(FIND(",",Stage!I417)),VALUE(Stage!I417),(VALUE(LEFT(Stage!I417,FIND(",",Stage!I417)-1))+VALUE(TRIM(MID(Stage!I417,FIND("|",SUBSTITUTE(Stage!I417,",","|",LEN(Stage!I417)-LEN(SUBSTITUTE(Stage!I417,",",""))))+1,100))))/2)</f>
        <v>0.2</v>
      </c>
      <c r="G392" s="117">
        <f>IF(ISERROR(FIND(",",Stage!J417)),VALUE(Stage!J417),VALUE(LEFT(Stage!J417,FIND(",",Stage!J417)-1)))</f>
        <v>36</v>
      </c>
      <c r="H392" s="117">
        <f>IF(Stage!K417="",0,LEN(TRIM(Stage!K417))-LEN(SUBSTITUTE(TRIM(Stage!K417),",",""))+1)</f>
        <v>4</v>
      </c>
      <c r="I392" s="117">
        <f>Stage!O417+Stage!P417+Stage!N417+Stage!Q417+Stage!M417</f>
        <v>6</v>
      </c>
      <c r="J392" s="117">
        <f>IF(Stage!F417=0,0,I392/Stage!F417)</f>
        <v>3.3333333333333333E-2</v>
      </c>
      <c r="K392" s="118">
        <f t="shared" si="15"/>
        <v>47.050342424606512</v>
      </c>
      <c r="L392" s="118">
        <f t="shared" si="17"/>
        <v>41.318223743552053</v>
      </c>
      <c r="M392" s="117" t="str">
        <f t="shared" si="16"/>
        <v>어려움</v>
      </c>
    </row>
    <row r="393" spans="1:13" ht="15.95" customHeight="1" x14ac:dyDescent="0.3">
      <c r="A393" s="119">
        <v>380</v>
      </c>
      <c r="B393" s="119" t="str">
        <f>Stage!C418</f>
        <v>N 380</v>
      </c>
      <c r="C393" s="119">
        <f>Stage!F418</f>
        <v>170</v>
      </c>
      <c r="D393" s="119">
        <f>IF(Stage!G418="",0,LEN(TRIM(Stage!G418))-LEN(SUBSTITUTE(TRIM(Stage!G418),",",""))+1)</f>
        <v>3</v>
      </c>
      <c r="E393" s="119">
        <f>IF(ISERROR(FIND(",",Stage!H418)),VALUE(Stage!H418),(VALUE(LEFT(Stage!H418,FIND(",",Stage!H418)-1))+VALUE(TRIM(MID(Stage!H418,FIND("|",SUBSTITUTE(Stage!H418,",","|",LEN(Stage!H418)-LEN(SUBSTITUTE(Stage!H418,",",""))))+1,100))))/2)</f>
        <v>3</v>
      </c>
      <c r="F393" s="119">
        <f>IF(ISERROR(FIND(",",Stage!I418)),VALUE(Stage!I418),(VALUE(LEFT(Stage!I418,FIND(",",Stage!I418)-1))+VALUE(TRIM(MID(Stage!I418,FIND("|",SUBSTITUTE(Stage!I418,",","|",LEN(Stage!I418)-LEN(SUBSTITUTE(Stage!I418,",",""))))+1,100))))/2)</f>
        <v>0.3</v>
      </c>
      <c r="G393" s="119">
        <f>IF(ISERROR(FIND(",",Stage!J418)),VALUE(Stage!J418),VALUE(LEFT(Stage!J418,FIND(",",Stage!J418)-1)))</f>
        <v>34</v>
      </c>
      <c r="H393" s="119">
        <f>IF(Stage!K418="",0,LEN(TRIM(Stage!K418))-LEN(SUBSTITUTE(TRIM(Stage!K418),",",""))+1)</f>
        <v>4</v>
      </c>
      <c r="I393" s="119">
        <f>Stage!O418+Stage!P418+Stage!N418+Stage!Q418+Stage!M418</f>
        <v>4</v>
      </c>
      <c r="J393" s="119">
        <f>IF(Stage!F418=0,0,I393/Stage!F418)</f>
        <v>2.3529411764705882E-2</v>
      </c>
      <c r="K393" s="120">
        <f t="shared" si="15"/>
        <v>44.480803254859552</v>
      </c>
      <c r="L393" s="120">
        <f t="shared" si="17"/>
        <v>38.645860601491201</v>
      </c>
      <c r="M393" s="119" t="str">
        <f t="shared" si="16"/>
        <v>보통</v>
      </c>
    </row>
    <row r="394" spans="1:13" ht="15.95" customHeight="1" x14ac:dyDescent="0.3">
      <c r="A394" s="117">
        <v>381</v>
      </c>
      <c r="B394" s="117" t="str">
        <f>Stage!C419</f>
        <v>N 381</v>
      </c>
      <c r="C394" s="117">
        <f>Stage!F419</f>
        <v>105</v>
      </c>
      <c r="D394" s="117">
        <f>IF(Stage!G419="",0,LEN(TRIM(Stage!G419))-LEN(SUBSTITUTE(TRIM(Stage!G419),",",""))+1)</f>
        <v>3</v>
      </c>
      <c r="E394" s="117">
        <f>IF(ISERROR(FIND(",",Stage!H419)),VALUE(Stage!H419),(VALUE(LEFT(Stage!H419,FIND(",",Stage!H419)-1))+VALUE(TRIM(MID(Stage!H419,FIND("|",SUBSTITUTE(Stage!H419,",","|",LEN(Stage!H419)-LEN(SUBSTITUTE(Stage!H419,",",""))))+1,100))))/2)</f>
        <v>2</v>
      </c>
      <c r="F394" s="117">
        <f>IF(ISERROR(FIND(",",Stage!I419)),VALUE(Stage!I419),(VALUE(LEFT(Stage!I419,FIND(",",Stage!I419)-1))+VALUE(TRIM(MID(Stage!I419,FIND("|",SUBSTITUTE(Stage!I419,",","|",LEN(Stage!I419)-LEN(SUBSTITUTE(Stage!I419,",",""))))+1,100))))/2)</f>
        <v>0.5</v>
      </c>
      <c r="G394" s="117">
        <f>IF(ISERROR(FIND(",",Stage!J419)),VALUE(Stage!J419),VALUE(LEFT(Stage!J419,FIND(",",Stage!J419)-1)))</f>
        <v>26</v>
      </c>
      <c r="H394" s="117">
        <f>IF(Stage!K419="",0,LEN(TRIM(Stage!K419))-LEN(SUBSTITUTE(TRIM(Stage!K419),",",""))+1)</f>
        <v>3</v>
      </c>
      <c r="I394" s="117">
        <f>Stage!O419+Stage!P419+Stage!N419+Stage!Q419+Stage!M419</f>
        <v>0</v>
      </c>
      <c r="J394" s="117">
        <f>IF(Stage!F419=0,0,I394/Stage!F419)</f>
        <v>0</v>
      </c>
      <c r="K394" s="118">
        <f t="shared" si="15"/>
        <v>31.149024790740526</v>
      </c>
      <c r="L394" s="118">
        <f t="shared" si="17"/>
        <v>37.831079950903828</v>
      </c>
      <c r="M394" s="117" t="str">
        <f t="shared" si="16"/>
        <v>보통</v>
      </c>
    </row>
    <row r="395" spans="1:13" ht="15.95" customHeight="1" x14ac:dyDescent="0.3">
      <c r="A395" s="119">
        <v>382</v>
      </c>
      <c r="B395" s="119" t="str">
        <f>Stage!C420</f>
        <v>N 382</v>
      </c>
      <c r="C395" s="119">
        <f>Stage!F420</f>
        <v>115</v>
      </c>
      <c r="D395" s="119">
        <f>IF(Stage!G420="",0,LEN(TRIM(Stage!G420))-LEN(SUBSTITUTE(TRIM(Stage!G420),",",""))+1)</f>
        <v>3</v>
      </c>
      <c r="E395" s="119">
        <f>IF(ISERROR(FIND(",",Stage!H420)),VALUE(Stage!H420),(VALUE(LEFT(Stage!H420,FIND(",",Stage!H420)-1))+VALUE(TRIM(MID(Stage!H420,FIND("|",SUBSTITUTE(Stage!H420,",","|",LEN(Stage!H420)-LEN(SUBSTITUTE(Stage!H420,",",""))))+1,100))))/2)</f>
        <v>2</v>
      </c>
      <c r="F395" s="119">
        <f>IF(ISERROR(FIND(",",Stage!I420)),VALUE(Stage!I420),(VALUE(LEFT(Stage!I420,FIND(",",Stage!I420)-1))+VALUE(TRIM(MID(Stage!I420,FIND("|",SUBSTITUTE(Stage!I420,",","|",LEN(Stage!I420)-LEN(SUBSTITUTE(Stage!I420,",",""))))+1,100))))/2)</f>
        <v>0.5</v>
      </c>
      <c r="G395" s="119">
        <f>IF(ISERROR(FIND(",",Stage!J420)),VALUE(Stage!J420),VALUE(LEFT(Stage!J420,FIND(",",Stage!J420)-1)))</f>
        <v>28</v>
      </c>
      <c r="H395" s="119">
        <f>IF(Stage!K420="",0,LEN(TRIM(Stage!K420))-LEN(SUBSTITUTE(TRIM(Stage!K420),",",""))+1)</f>
        <v>3</v>
      </c>
      <c r="I395" s="119">
        <f>Stage!O420+Stage!P420+Stage!N420+Stage!Q420+Stage!M420</f>
        <v>0</v>
      </c>
      <c r="J395" s="119">
        <f>IF(Stage!F420=0,0,I395/Stage!F420)</f>
        <v>0</v>
      </c>
      <c r="K395" s="120">
        <f t="shared" si="15"/>
        <v>31.118987544555253</v>
      </c>
      <c r="L395" s="120">
        <f t="shared" si="17"/>
        <v>34.638801525656518</v>
      </c>
      <c r="M395" s="119" t="str">
        <f t="shared" si="16"/>
        <v>보통</v>
      </c>
    </row>
    <row r="396" spans="1:13" ht="15.95" customHeight="1" x14ac:dyDescent="0.3">
      <c r="A396" s="117">
        <v>383</v>
      </c>
      <c r="B396" s="117" t="str">
        <f>Stage!C421</f>
        <v>N 383</v>
      </c>
      <c r="C396" s="117">
        <f>Stage!F421</f>
        <v>135</v>
      </c>
      <c r="D396" s="117">
        <f>IF(Stage!G421="",0,LEN(TRIM(Stage!G421))-LEN(SUBSTITUTE(TRIM(Stage!G421),",",""))+1)</f>
        <v>3</v>
      </c>
      <c r="E396" s="117">
        <f>IF(ISERROR(FIND(",",Stage!H421)),VALUE(Stage!H421),(VALUE(LEFT(Stage!H421,FIND(",",Stage!H421)-1))+VALUE(TRIM(MID(Stage!H421,FIND("|",SUBSTITUTE(Stage!H421,",","|",LEN(Stage!H421)-LEN(SUBSTITUTE(Stage!H421,",",""))))+1,100))))/2)</f>
        <v>2.5</v>
      </c>
      <c r="F396" s="117">
        <f>IF(ISERROR(FIND(",",Stage!I421)),VALUE(Stage!I421),(VALUE(LEFT(Stage!I421,FIND(",",Stage!I421)-1))+VALUE(TRIM(MID(Stage!I421,FIND("|",SUBSTITUTE(Stage!I421,",","|",LEN(Stage!I421)-LEN(SUBSTITUTE(Stage!I421,",",""))))+1,100))))/2)</f>
        <v>0.4</v>
      </c>
      <c r="G396" s="117">
        <f>IF(ISERROR(FIND(",",Stage!J421)),VALUE(Stage!J421),VALUE(LEFT(Stage!J421,FIND(",",Stage!J421)-1)))</f>
        <v>33</v>
      </c>
      <c r="H396" s="117">
        <f>IF(Stage!K421="",0,LEN(TRIM(Stage!K421))-LEN(SUBSTITUTE(TRIM(Stage!K421),",",""))+1)</f>
        <v>3</v>
      </c>
      <c r="I396" s="117">
        <f>Stage!O421+Stage!P421+Stage!N421+Stage!Q421+Stage!M421</f>
        <v>0</v>
      </c>
      <c r="J396" s="117">
        <f>IF(Stage!F421=0,0,I396/Stage!F421)</f>
        <v>0</v>
      </c>
      <c r="K396" s="118">
        <f t="shared" si="15"/>
        <v>35.356241739757294</v>
      </c>
      <c r="L396" s="118">
        <f t="shared" si="17"/>
        <v>34.7573391004846</v>
      </c>
      <c r="M396" s="117" t="str">
        <f t="shared" si="16"/>
        <v>보통</v>
      </c>
    </row>
    <row r="397" spans="1:13" ht="15.95" customHeight="1" x14ac:dyDescent="0.3">
      <c r="A397" s="119">
        <v>384</v>
      </c>
      <c r="B397" s="119" t="str">
        <f>Stage!C422</f>
        <v>N 384</v>
      </c>
      <c r="C397" s="119">
        <f>Stage!F422</f>
        <v>125</v>
      </c>
      <c r="D397" s="119">
        <f>IF(Stage!G422="",0,LEN(TRIM(Stage!G422))-LEN(SUBSTITUTE(TRIM(Stage!G422),",",""))+1)</f>
        <v>3</v>
      </c>
      <c r="E397" s="119">
        <f>IF(ISERROR(FIND(",",Stage!H422)),VALUE(Stage!H422),(VALUE(LEFT(Stage!H422,FIND(",",Stage!H422)-1))+VALUE(TRIM(MID(Stage!H422,FIND("|",SUBSTITUTE(Stage!H422,",","|",LEN(Stage!H422)-LEN(SUBSTITUTE(Stage!H422,",",""))))+1,100))))/2)</f>
        <v>2</v>
      </c>
      <c r="F397" s="119">
        <f>IF(ISERROR(FIND(",",Stage!I422)),VALUE(Stage!I422),(VALUE(LEFT(Stage!I422,FIND(",",Stage!I422)-1))+VALUE(TRIM(MID(Stage!I422,FIND("|",SUBSTITUTE(Stage!I422,",","|",LEN(Stage!I422)-LEN(SUBSTITUTE(Stage!I422,",",""))))+1,100))))/2)</f>
        <v>0.5</v>
      </c>
      <c r="G397" s="119">
        <f>IF(ISERROR(FIND(",",Stage!J422)),VALUE(Stage!J422),VALUE(LEFT(Stage!J422,FIND(",",Stage!J422)-1)))</f>
        <v>31</v>
      </c>
      <c r="H397" s="119">
        <f>IF(Stage!K422="",0,LEN(TRIM(Stage!K422))-LEN(SUBSTITUTE(TRIM(Stage!K422),",",""))+1)</f>
        <v>3</v>
      </c>
      <c r="I397" s="119">
        <f>Stage!O422+Stage!P422+Stage!N422+Stage!Q422+Stage!M422</f>
        <v>0</v>
      </c>
      <c r="J397" s="119">
        <f>IF(Stage!F422=0,0,I397/Stage!F422)</f>
        <v>0</v>
      </c>
      <c r="K397" s="120">
        <f t="shared" si="15"/>
        <v>31.088950298369983</v>
      </c>
      <c r="L397" s="120">
        <f t="shared" si="17"/>
        <v>38.05246938636342</v>
      </c>
      <c r="M397" s="119" t="str">
        <f t="shared" si="16"/>
        <v>보통</v>
      </c>
    </row>
    <row r="398" spans="1:13" ht="15.95" customHeight="1" x14ac:dyDescent="0.3">
      <c r="A398" s="117">
        <v>385</v>
      </c>
      <c r="B398" s="117" t="str">
        <f>Stage!C423</f>
        <v>N 385</v>
      </c>
      <c r="C398" s="117">
        <f>Stage!F423</f>
        <v>175</v>
      </c>
      <c r="D398" s="117">
        <f>IF(Stage!G423="",0,LEN(TRIM(Stage!G423))-LEN(SUBSTITUTE(TRIM(Stage!G423),",",""))+1)</f>
        <v>3</v>
      </c>
      <c r="E398" s="117">
        <f>IF(ISERROR(FIND(",",Stage!H423)),VALUE(Stage!H423),(VALUE(LEFT(Stage!H423,FIND(",",Stage!H423)-1))+VALUE(TRIM(MID(Stage!H423,FIND("|",SUBSTITUTE(Stage!H423,",","|",LEN(Stage!H423)-LEN(SUBSTITUTE(Stage!H423,",",""))))+1,100))))/2)</f>
        <v>3</v>
      </c>
      <c r="F398" s="117">
        <f>IF(ISERROR(FIND(",",Stage!I423)),VALUE(Stage!I423),(VALUE(LEFT(Stage!I423,FIND(",",Stage!I423)-1))+VALUE(TRIM(MID(Stage!I423,FIND("|",SUBSTITUTE(Stage!I423,",","|",LEN(Stage!I423)-LEN(SUBSTITUTE(Stage!I423,",",""))))+1,100))))/2)</f>
        <v>0.3</v>
      </c>
      <c r="G398" s="117">
        <f>IF(ISERROR(FIND(",",Stage!J423)),VALUE(Stage!J423),VALUE(LEFT(Stage!J423,FIND(",",Stage!J423)-1)))</f>
        <v>35</v>
      </c>
      <c r="H398" s="117">
        <f>IF(Stage!K423="",0,LEN(TRIM(Stage!K423))-LEN(SUBSTITUTE(TRIM(Stage!K423),",",""))+1)</f>
        <v>4</v>
      </c>
      <c r="I398" s="117">
        <f>Stage!O423+Stage!P423+Stage!N423+Stage!Q423+Stage!M423</f>
        <v>5</v>
      </c>
      <c r="J398" s="117">
        <f>IF(Stage!F423=0,0,I398/Stage!F423)</f>
        <v>2.8571428571428571E-2</v>
      </c>
      <c r="K398" s="118">
        <f t="shared" ref="K398:K461" si="18">(MAX(0,MIN(1,(C398-$E$3)/MAX($F$3-$E$3,0.0001)))*$C$3+MAX(0,MIN(1,(D398-$E$4)/MAX($F$4-$E$4,0.0001)))*$C$4+MAX(0,MIN(1,(E398-$E$5)/MAX($F$5-$E$5,0.0001)))*$C$5+(1-MAX(0,MIN(1,(F398-$E$6)/MAX($F$6-$E$6,0.0001))))*$C$6+(1-MAX(0,MIN(1,(G398-$E$7)/MAX($F$7-$E$7,0.0001))))*$C$7+MAX(0,MIN(1,(H398-$E$8)/MAX($F$8-$E$8,0.0001)))*$C$8+MAX(0,MIN(1,(J398-$E$9)/MAX($F$9-$E$9,0.0001)))*$C$9)/$C$10*100</f>
        <v>45.073491128999954</v>
      </c>
      <c r="L398" s="118">
        <f t="shared" si="17"/>
        <v>39.068128804041336</v>
      </c>
      <c r="M398" s="117" t="str">
        <f t="shared" ref="M398:M461" si="19">IF(K398&lt;25,"쉬움",IF(K398&lt;45,"보통",IF(K398&lt;60,"어려움",IF(K398&lt;75,"매우어려움","극악"))))</f>
        <v>어려움</v>
      </c>
    </row>
    <row r="399" spans="1:13" ht="15.95" customHeight="1" x14ac:dyDescent="0.3">
      <c r="A399" s="119">
        <v>386</v>
      </c>
      <c r="B399" s="119" t="str">
        <f>Stage!C424</f>
        <v>N 386</v>
      </c>
      <c r="C399" s="119">
        <f>Stage!F424</f>
        <v>185</v>
      </c>
      <c r="D399" s="119">
        <f>IF(Stage!G424="",0,LEN(TRIM(Stage!G424))-LEN(SUBSTITUTE(TRIM(Stage!G424),",",""))+1)</f>
        <v>3</v>
      </c>
      <c r="E399" s="119">
        <f>IF(ISERROR(FIND(",",Stage!H424)),VALUE(Stage!H424),(VALUE(LEFT(Stage!H424,FIND(",",Stage!H424)-1))+VALUE(TRIM(MID(Stage!H424,FIND("|",SUBSTITUTE(Stage!H424,",","|",LEN(Stage!H424)-LEN(SUBSTITUTE(Stage!H424,",",""))))+1,100))))/2)</f>
        <v>3</v>
      </c>
      <c r="F399" s="119">
        <f>IF(ISERROR(FIND(",",Stage!I424)),VALUE(Stage!I424),(VALUE(LEFT(Stage!I424,FIND(",",Stage!I424)-1))+VALUE(TRIM(MID(Stage!I424,FIND("|",SUBSTITUTE(Stage!I424,",","|",LEN(Stage!I424)-LEN(SUBSTITUTE(Stage!I424,",",""))))+1,100))))/2)</f>
        <v>0.2</v>
      </c>
      <c r="G399" s="119">
        <f>IF(ISERROR(FIND(",",Stage!J424)),VALUE(Stage!J424),VALUE(LEFT(Stage!J424,FIND(",",Stage!J424)-1)))</f>
        <v>37</v>
      </c>
      <c r="H399" s="119">
        <f>IF(Stage!K424="",0,LEN(TRIM(Stage!K424))-LEN(SUBSTITUTE(TRIM(Stage!K424),",",""))+1)</f>
        <v>4</v>
      </c>
      <c r="I399" s="119">
        <f>Stage!O424+Stage!P424+Stage!N424+Stage!Q424+Stage!M424</f>
        <v>7</v>
      </c>
      <c r="J399" s="119">
        <f>IF(Stage!F424=0,0,I399/Stage!F424)</f>
        <v>3.783783783783784E-2</v>
      </c>
      <c r="K399" s="120">
        <f t="shared" si="18"/>
        <v>47.624676220134596</v>
      </c>
      <c r="L399" s="120">
        <f t="shared" si="17"/>
        <v>38.226685414237984</v>
      </c>
      <c r="M399" s="119" t="str">
        <f t="shared" si="19"/>
        <v>어려움</v>
      </c>
    </row>
    <row r="400" spans="1:13" ht="15.95" customHeight="1" x14ac:dyDescent="0.3">
      <c r="A400" s="117">
        <v>387</v>
      </c>
      <c r="B400" s="117" t="str">
        <f>Stage!C425</f>
        <v>N 387</v>
      </c>
      <c r="C400" s="117">
        <f>Stage!F425</f>
        <v>145</v>
      </c>
      <c r="D400" s="117">
        <f>IF(Stage!G425="",0,LEN(TRIM(Stage!G425))-LEN(SUBSTITUTE(TRIM(Stage!G425),",",""))+1)</f>
        <v>3</v>
      </c>
      <c r="E400" s="117">
        <f>IF(ISERROR(FIND(",",Stage!H425)),VALUE(Stage!H425),(VALUE(LEFT(Stage!H425,FIND(",",Stage!H425)-1))+VALUE(TRIM(MID(Stage!H425,FIND("|",SUBSTITUTE(Stage!H425,",","|",LEN(Stage!H425)-LEN(SUBSTITUTE(Stage!H425,",",""))))+1,100))))/2)</f>
        <v>2.5</v>
      </c>
      <c r="F400" s="117">
        <f>IF(ISERROR(FIND(",",Stage!I425)),VALUE(Stage!I425),(VALUE(LEFT(Stage!I425,FIND(",",Stage!I425)-1))+VALUE(TRIM(MID(Stage!I425,FIND("|",SUBSTITUTE(Stage!I425,",","|",LEN(Stage!I425)-LEN(SUBSTITUTE(Stage!I425,",",""))))+1,100))))/2)</f>
        <v>0.4</v>
      </c>
      <c r="G400" s="117">
        <f>IF(ISERROR(FIND(",",Stage!J425)),VALUE(Stage!J425),VALUE(LEFT(Stage!J425,FIND(",",Stage!J425)-1)))</f>
        <v>36</v>
      </c>
      <c r="H400" s="117">
        <f>IF(Stage!K425="",0,LEN(TRIM(Stage!K425))-LEN(SUBSTITUTE(TRIM(Stage!K425),",",""))+1)</f>
        <v>3</v>
      </c>
      <c r="I400" s="117">
        <f>Stage!O425+Stage!P425+Stage!N425+Stage!Q425+Stage!M425</f>
        <v>0</v>
      </c>
      <c r="J400" s="117">
        <f>IF(Stage!F425=0,0,I400/Stage!F425)</f>
        <v>0</v>
      </c>
      <c r="K400" s="118">
        <f t="shared" si="18"/>
        <v>36.19728463294485</v>
      </c>
      <c r="L400" s="118">
        <f t="shared" ref="L400:L463" si="20">AVERAGE(K398:K402)</f>
        <v>41.102277815482196</v>
      </c>
      <c r="M400" s="117" t="str">
        <f t="shared" si="19"/>
        <v>보통</v>
      </c>
    </row>
    <row r="401" spans="1:13" ht="15.95" customHeight="1" x14ac:dyDescent="0.3">
      <c r="A401" s="119">
        <v>388</v>
      </c>
      <c r="B401" s="119" t="str">
        <f>Stage!C426</f>
        <v>N 388</v>
      </c>
      <c r="C401" s="119">
        <f>Stage!F426</f>
        <v>105</v>
      </c>
      <c r="D401" s="119">
        <f>IF(Stage!G426="",0,LEN(TRIM(Stage!G426))-LEN(SUBSTITUTE(TRIM(Stage!G426),",",""))+1)</f>
        <v>3</v>
      </c>
      <c r="E401" s="119">
        <f>IF(ISERROR(FIND(",",Stage!H426)),VALUE(Stage!H426),(VALUE(LEFT(Stage!H426,FIND(",",Stage!H426)-1))+VALUE(TRIM(MID(Stage!H426,FIND("|",SUBSTITUTE(Stage!H426,",","|",LEN(Stage!H426)-LEN(SUBSTITUTE(Stage!H426,",",""))))+1,100))))/2)</f>
        <v>2</v>
      </c>
      <c r="F401" s="119">
        <f>IF(ISERROR(FIND(",",Stage!I426)),VALUE(Stage!I426),(VALUE(LEFT(Stage!I426,FIND(",",Stage!I426)-1))+VALUE(TRIM(MID(Stage!I426,FIND("|",SUBSTITUTE(Stage!I426,",","|",LEN(Stage!I426)-LEN(SUBSTITUTE(Stage!I426,",",""))))+1,100))))/2)</f>
        <v>0.5</v>
      </c>
      <c r="G401" s="119">
        <f>IF(ISERROR(FIND(",",Stage!J426)),VALUE(Stage!J426),VALUE(LEFT(Stage!J426,FIND(",",Stage!J426)-1)))</f>
        <v>26</v>
      </c>
      <c r="H401" s="119">
        <f>IF(Stage!K426="",0,LEN(TRIM(Stage!K426))-LEN(SUBSTITUTE(TRIM(Stage!K426),",",""))+1)</f>
        <v>3</v>
      </c>
      <c r="I401" s="119">
        <f>Stage!O426+Stage!P426+Stage!N426+Stage!Q426+Stage!M426</f>
        <v>0</v>
      </c>
      <c r="J401" s="119">
        <f>IF(Stage!F426=0,0,I401/Stage!F426)</f>
        <v>0</v>
      </c>
      <c r="K401" s="120">
        <f t="shared" si="18"/>
        <v>31.149024790740526</v>
      </c>
      <c r="L401" s="120">
        <f t="shared" si="20"/>
        <v>41.612514833709113</v>
      </c>
      <c r="M401" s="119" t="str">
        <f t="shared" si="19"/>
        <v>보통</v>
      </c>
    </row>
    <row r="402" spans="1:13" ht="15.95" customHeight="1" x14ac:dyDescent="0.3">
      <c r="A402" s="117">
        <v>389</v>
      </c>
      <c r="B402" s="117" t="str">
        <f>Stage!C427</f>
        <v>N 389</v>
      </c>
      <c r="C402" s="117">
        <f>Stage!F427</f>
        <v>180</v>
      </c>
      <c r="D402" s="117">
        <f>IF(Stage!G427="",0,LEN(TRIM(Stage!G427))-LEN(SUBSTITUTE(TRIM(Stage!G427),",",""))+1)</f>
        <v>3</v>
      </c>
      <c r="E402" s="117">
        <f>IF(ISERROR(FIND(",",Stage!H427)),VALUE(Stage!H427),(VALUE(LEFT(Stage!H427,FIND(",",Stage!H427)-1))+VALUE(TRIM(MID(Stage!H427,FIND("|",SUBSTITUTE(Stage!H427,",","|",LEN(Stage!H427)-LEN(SUBSTITUTE(Stage!H427,",",""))))+1,100))))/2)</f>
        <v>3</v>
      </c>
      <c r="F402" s="117">
        <f>IF(ISERROR(FIND(",",Stage!I427)),VALUE(Stage!I427),(VALUE(LEFT(Stage!I427,FIND(",",Stage!I427)-1))+VALUE(TRIM(MID(Stage!I427,FIND("|",SUBSTITUTE(Stage!I427,",","|",LEN(Stage!I427)-LEN(SUBSTITUTE(Stage!I427,",",""))))+1,100))))/2)</f>
        <v>0.3</v>
      </c>
      <c r="G402" s="117">
        <f>IF(ISERROR(FIND(",",Stage!J427)),VALUE(Stage!J427),VALUE(LEFT(Stage!J427,FIND(",",Stage!J427)-1)))</f>
        <v>36</v>
      </c>
      <c r="H402" s="117">
        <f>IF(Stage!K427="",0,LEN(TRIM(Stage!K427))-LEN(SUBSTITUTE(TRIM(Stage!K427),",",""))+1)</f>
        <v>4</v>
      </c>
      <c r="I402" s="117">
        <f>Stage!O427+Stage!P427+Stage!N427+Stage!Q427+Stage!M427</f>
        <v>5</v>
      </c>
      <c r="J402" s="117">
        <f>IF(Stage!F427=0,0,I402/Stage!F427)</f>
        <v>2.7777777777777776E-2</v>
      </c>
      <c r="K402" s="118">
        <f t="shared" si="18"/>
        <v>45.46691230459102</v>
      </c>
      <c r="L402" s="118">
        <f t="shared" si="20"/>
        <v>39.327036516271164</v>
      </c>
      <c r="M402" s="117" t="str">
        <f t="shared" si="19"/>
        <v>어려움</v>
      </c>
    </row>
    <row r="403" spans="1:13" ht="15.95" customHeight="1" x14ac:dyDescent="0.3">
      <c r="A403" s="119">
        <v>390</v>
      </c>
      <c r="B403" s="119" t="str">
        <f>Stage!C428</f>
        <v>N 390</v>
      </c>
      <c r="C403" s="119">
        <f>Stage!F428</f>
        <v>185</v>
      </c>
      <c r="D403" s="119">
        <f>IF(Stage!G428="",0,LEN(TRIM(Stage!G428))-LEN(SUBSTITUTE(TRIM(Stage!G428),",",""))+1)</f>
        <v>3</v>
      </c>
      <c r="E403" s="119">
        <f>IF(ISERROR(FIND(",",Stage!H428)),VALUE(Stage!H428),(VALUE(LEFT(Stage!H428,FIND(",",Stage!H428)-1))+VALUE(TRIM(MID(Stage!H428,FIND("|",SUBSTITUTE(Stage!H428,",","|",LEN(Stage!H428)-LEN(SUBSTITUTE(Stage!H428,",",""))))+1,100))))/2)</f>
        <v>3</v>
      </c>
      <c r="F403" s="119">
        <f>IF(ISERROR(FIND(",",Stage!I428)),VALUE(Stage!I428),(VALUE(LEFT(Stage!I428,FIND(",",Stage!I428)-1))+VALUE(TRIM(MID(Stage!I428,FIND("|",SUBSTITUTE(Stage!I428,",","|",LEN(Stage!I428)-LEN(SUBSTITUTE(Stage!I428,",",""))))+1,100))))/2)</f>
        <v>0.2</v>
      </c>
      <c r="G403" s="119">
        <f>IF(ISERROR(FIND(",",Stage!J428)),VALUE(Stage!J428),VALUE(LEFT(Stage!J428,FIND(",",Stage!J428)-1)))</f>
        <v>37</v>
      </c>
      <c r="H403" s="119">
        <f>IF(Stage!K428="",0,LEN(TRIM(Stage!K428))-LEN(SUBSTITUTE(TRIM(Stage!K428),",",""))+1)</f>
        <v>4</v>
      </c>
      <c r="I403" s="119">
        <f>Stage!O428+Stage!P428+Stage!N428+Stage!Q428+Stage!M428</f>
        <v>7</v>
      </c>
      <c r="J403" s="119">
        <f>IF(Stage!F428=0,0,I403/Stage!F428)</f>
        <v>3.783783783783784E-2</v>
      </c>
      <c r="K403" s="120">
        <f t="shared" si="18"/>
        <v>47.624676220134596</v>
      </c>
      <c r="L403" s="120">
        <f t="shared" si="20"/>
        <v>39.37413491828967</v>
      </c>
      <c r="M403" s="119" t="str">
        <f t="shared" si="19"/>
        <v>어려움</v>
      </c>
    </row>
    <row r="404" spans="1:13" ht="15.95" customHeight="1" x14ac:dyDescent="0.3">
      <c r="A404" s="117">
        <v>391</v>
      </c>
      <c r="B404" s="117" t="str">
        <f>Stage!C429</f>
        <v>N 391</v>
      </c>
      <c r="C404" s="117">
        <f>Stage!F429</f>
        <v>145</v>
      </c>
      <c r="D404" s="117">
        <f>IF(Stage!G429="",0,LEN(TRIM(Stage!G429))-LEN(SUBSTITUTE(TRIM(Stage!G429),",",""))+1)</f>
        <v>3</v>
      </c>
      <c r="E404" s="117">
        <f>IF(ISERROR(FIND(",",Stage!H429)),VALUE(Stage!H429),(VALUE(LEFT(Stage!H429,FIND(",",Stage!H429)-1))+VALUE(TRIM(MID(Stage!H429,FIND("|",SUBSTITUTE(Stage!H429,",","|",LEN(Stage!H429)-LEN(SUBSTITUTE(Stage!H429,",",""))))+1,100))))/2)</f>
        <v>2.5</v>
      </c>
      <c r="F404" s="117">
        <f>IF(ISERROR(FIND(",",Stage!I429)),VALUE(Stage!I429),(VALUE(LEFT(Stage!I429,FIND(",",Stage!I429)-1))+VALUE(TRIM(MID(Stage!I429,FIND("|",SUBSTITUTE(Stage!I429,",","|",LEN(Stage!I429)-LEN(SUBSTITUTE(Stage!I429,",",""))))+1,100))))/2)</f>
        <v>0.4</v>
      </c>
      <c r="G404" s="117">
        <f>IF(ISERROR(FIND(",",Stage!J429)),VALUE(Stage!J429),VALUE(LEFT(Stage!J429,FIND(",",Stage!J429)-1)))</f>
        <v>36</v>
      </c>
      <c r="H404" s="117">
        <f>IF(Stage!K429="",0,LEN(TRIM(Stage!K429))-LEN(SUBSTITUTE(TRIM(Stage!K429),",",""))+1)</f>
        <v>3</v>
      </c>
      <c r="I404" s="117">
        <f>Stage!O429+Stage!P429+Stage!N429+Stage!Q429+Stage!M429</f>
        <v>0</v>
      </c>
      <c r="J404" s="117">
        <f>IF(Stage!F429=0,0,I404/Stage!F429)</f>
        <v>0</v>
      </c>
      <c r="K404" s="118">
        <f t="shared" si="18"/>
        <v>36.19728463294485</v>
      </c>
      <c r="L404" s="118">
        <f t="shared" si="20"/>
        <v>43.038783082012685</v>
      </c>
      <c r="M404" s="117" t="str">
        <f t="shared" si="19"/>
        <v>보통</v>
      </c>
    </row>
    <row r="405" spans="1:13" ht="15.95" customHeight="1" x14ac:dyDescent="0.3">
      <c r="A405" s="119">
        <v>392</v>
      </c>
      <c r="B405" s="119" t="str">
        <f>Stage!C430</f>
        <v>N 392</v>
      </c>
      <c r="C405" s="119">
        <f>Stage!F430</f>
        <v>145</v>
      </c>
      <c r="D405" s="119">
        <f>IF(Stage!G430="",0,LEN(TRIM(Stage!G430))-LEN(SUBSTITUTE(TRIM(Stage!G430),",",""))+1)</f>
        <v>3</v>
      </c>
      <c r="E405" s="119">
        <f>IF(ISERROR(FIND(",",Stage!H430)),VALUE(Stage!H430),(VALUE(LEFT(Stage!H430,FIND(",",Stage!H430)-1))+VALUE(TRIM(MID(Stage!H430,FIND("|",SUBSTITUTE(Stage!H430,",","|",LEN(Stage!H430)-LEN(SUBSTITUTE(Stage!H430,",",""))))+1,100))))/2)</f>
        <v>2.5</v>
      </c>
      <c r="F405" s="119">
        <f>IF(ISERROR(FIND(",",Stage!I430)),VALUE(Stage!I430),(VALUE(LEFT(Stage!I430,FIND(",",Stage!I430)-1))+VALUE(TRIM(MID(Stage!I430,FIND("|",SUBSTITUTE(Stage!I430,",","|",LEN(Stage!I430)-LEN(SUBSTITUTE(Stage!I430,",",""))))+1,100))))/2)</f>
        <v>0.4</v>
      </c>
      <c r="G405" s="119">
        <f>IF(ISERROR(FIND(",",Stage!J430)),VALUE(Stage!J430),VALUE(LEFT(Stage!J430,FIND(",",Stage!J430)-1)))</f>
        <v>36</v>
      </c>
      <c r="H405" s="119">
        <f>IF(Stage!K430="",0,LEN(TRIM(Stage!K430))-LEN(SUBSTITUTE(TRIM(Stage!K430),",",""))+1)</f>
        <v>3</v>
      </c>
      <c r="I405" s="119">
        <f>Stage!O430+Stage!P430+Stage!N430+Stage!Q430+Stage!M430</f>
        <v>1</v>
      </c>
      <c r="J405" s="119">
        <f>IF(Stage!F430=0,0,I405/Stage!F430)</f>
        <v>6.8965517241379309E-3</v>
      </c>
      <c r="K405" s="120">
        <f t="shared" si="18"/>
        <v>36.432776643037371</v>
      </c>
      <c r="L405" s="120">
        <f t="shared" si="20"/>
        <v>43.038783082012685</v>
      </c>
      <c r="M405" s="119" t="str">
        <f t="shared" si="19"/>
        <v>보통</v>
      </c>
    </row>
    <row r="406" spans="1:13" ht="15.95" customHeight="1" x14ac:dyDescent="0.3">
      <c r="A406" s="117">
        <v>393</v>
      </c>
      <c r="B406" s="117" t="str">
        <f>Stage!C431</f>
        <v>N 393</v>
      </c>
      <c r="C406" s="117">
        <f>Stage!F431</f>
        <v>200</v>
      </c>
      <c r="D406" s="117">
        <f>IF(Stage!G431="",0,LEN(TRIM(Stage!G431))-LEN(SUBSTITUTE(TRIM(Stage!G431),",",""))+1)</f>
        <v>3</v>
      </c>
      <c r="E406" s="117">
        <f>IF(ISERROR(FIND(",",Stage!H431)),VALUE(Stage!H431),(VALUE(LEFT(Stage!H431,FIND(",",Stage!H431)-1))+VALUE(TRIM(MID(Stage!H431,FIND("|",SUBSTITUTE(Stage!H431,",","|",LEN(Stage!H431)-LEN(SUBSTITUTE(Stage!H431,",",""))))+1,100))))/2)</f>
        <v>3</v>
      </c>
      <c r="F406" s="117">
        <f>IF(ISERROR(FIND(",",Stage!I431)),VALUE(Stage!I431),(VALUE(LEFT(Stage!I431,FIND(",",Stage!I431)-1))+VALUE(TRIM(MID(Stage!I431,FIND("|",SUBSTITUTE(Stage!I431,",","|",LEN(Stage!I431)-LEN(SUBSTITUTE(Stage!I431,",",""))))+1,100))))/2)</f>
        <v>0.2</v>
      </c>
      <c r="G406" s="117">
        <f>IF(ISERROR(FIND(",",Stage!J431)),VALUE(Stage!J431),VALUE(LEFT(Stage!J431,FIND(",",Stage!J431)-1)))</f>
        <v>40</v>
      </c>
      <c r="H406" s="117">
        <f>IF(Stage!K431="",0,LEN(TRIM(Stage!K431))-LEN(SUBSTITUTE(TRIM(Stage!K431),",",""))+1)</f>
        <v>4</v>
      </c>
      <c r="I406" s="117">
        <f>Stage!O431+Stage!P431+Stage!N431+Stage!Q431+Stage!M431</f>
        <v>11</v>
      </c>
      <c r="J406" s="117">
        <f>IF(Stage!F431=0,0,I406/Stage!F431)</f>
        <v>5.5E-2</v>
      </c>
      <c r="K406" s="118">
        <f t="shared" si="18"/>
        <v>49.472265609355603</v>
      </c>
      <c r="L406" s="118">
        <f t="shared" si="20"/>
        <v>39.567994980442414</v>
      </c>
      <c r="M406" s="117" t="str">
        <f t="shared" si="19"/>
        <v>어려움</v>
      </c>
    </row>
    <row r="407" spans="1:13" ht="15.95" customHeight="1" x14ac:dyDescent="0.3">
      <c r="A407" s="119">
        <v>394</v>
      </c>
      <c r="B407" s="119" t="str">
        <f>Stage!C432</f>
        <v>N 394</v>
      </c>
      <c r="C407" s="119">
        <f>Stage!F432</f>
        <v>180</v>
      </c>
      <c r="D407" s="119">
        <f>IF(Stage!G432="",0,LEN(TRIM(Stage!G432))-LEN(SUBSTITUTE(TRIM(Stage!G432),",",""))+1)</f>
        <v>3</v>
      </c>
      <c r="E407" s="119">
        <f>IF(ISERROR(FIND(",",Stage!H432)),VALUE(Stage!H432),(VALUE(LEFT(Stage!H432,FIND(",",Stage!H432)-1))+VALUE(TRIM(MID(Stage!H432,FIND("|",SUBSTITUTE(Stage!H432,",","|",LEN(Stage!H432)-LEN(SUBSTITUTE(Stage!H432,",",""))))+1,100))))/2)</f>
        <v>3</v>
      </c>
      <c r="F407" s="119">
        <f>IF(ISERROR(FIND(",",Stage!I432)),VALUE(Stage!I432),(VALUE(LEFT(Stage!I432,FIND(",",Stage!I432)-1))+VALUE(TRIM(MID(Stage!I432,FIND("|",SUBSTITUTE(Stage!I432,",","|",LEN(Stage!I432)-LEN(SUBSTITUTE(Stage!I432,",",""))))+1,100))))/2)</f>
        <v>0.3</v>
      </c>
      <c r="G407" s="119">
        <f>IF(ISERROR(FIND(",",Stage!J432)),VALUE(Stage!J432),VALUE(LEFT(Stage!J432,FIND(",",Stage!J432)-1)))</f>
        <v>36</v>
      </c>
      <c r="H407" s="119">
        <f>IF(Stage!K432="",0,LEN(TRIM(Stage!K432))-LEN(SUBSTITUTE(TRIM(Stage!K432),",",""))+1)</f>
        <v>4</v>
      </c>
      <c r="I407" s="119">
        <f>Stage!O432+Stage!P432+Stage!N432+Stage!Q432+Stage!M432</f>
        <v>5</v>
      </c>
      <c r="J407" s="119">
        <f>IF(Stage!F432=0,0,I407/Stage!F432)</f>
        <v>2.7777777777777776E-2</v>
      </c>
      <c r="K407" s="120">
        <f t="shared" si="18"/>
        <v>45.46691230459102</v>
      </c>
      <c r="L407" s="120">
        <f t="shared" si="20"/>
        <v>39.567994980442414</v>
      </c>
      <c r="M407" s="119" t="str">
        <f t="shared" si="19"/>
        <v>어려움</v>
      </c>
    </row>
    <row r="408" spans="1:13" ht="15.95" customHeight="1" x14ac:dyDescent="0.3">
      <c r="A408" s="117">
        <v>395</v>
      </c>
      <c r="B408" s="117" t="str">
        <f>Stage!C433</f>
        <v>N 395</v>
      </c>
      <c r="C408" s="117">
        <f>Stage!F433</f>
        <v>90</v>
      </c>
      <c r="D408" s="117">
        <f>IF(Stage!G433="",0,LEN(TRIM(Stage!G433))-LEN(SUBSTITUTE(TRIM(Stage!G433),",",""))+1)</f>
        <v>2</v>
      </c>
      <c r="E408" s="117">
        <f>IF(ISERROR(FIND(",",Stage!H433)),VALUE(Stage!H433),(VALUE(LEFT(Stage!H433,FIND(",",Stage!H433)-1))+VALUE(TRIM(MID(Stage!H433,FIND("|",SUBSTITUTE(Stage!H433,",","|",LEN(Stage!H433)-LEN(SUBSTITUTE(Stage!H433,",",""))))+1,100))))/2)</f>
        <v>2</v>
      </c>
      <c r="F408" s="117">
        <f>IF(ISERROR(FIND(",",Stage!I433)),VALUE(Stage!I433),(VALUE(LEFT(Stage!I433,FIND(",",Stage!I433)-1))+VALUE(TRIM(MID(Stage!I433,FIND("|",SUBSTITUTE(Stage!I433,",","|",LEN(Stage!I433)-LEN(SUBSTITUTE(Stage!I433,",",""))))+1,100))))/2)</f>
        <v>0.6</v>
      </c>
      <c r="G408" s="117">
        <f>IF(ISERROR(FIND(",",Stage!J433)),VALUE(Stage!J433),VALUE(LEFT(Stage!J433,FIND(",",Stage!J433)-1)))</f>
        <v>18</v>
      </c>
      <c r="H408" s="117">
        <f>IF(Stage!K433="",0,LEN(TRIM(Stage!K433))-LEN(SUBSTITUTE(TRIM(Stage!K433),",",""))+1)</f>
        <v>4</v>
      </c>
      <c r="I408" s="117">
        <f>Stage!O433+Stage!P433+Stage!N433+Stage!Q433+Stage!M433</f>
        <v>0</v>
      </c>
      <c r="J408" s="117">
        <f>IF(Stage!F433=0,0,I408/Stage!F433)</f>
        <v>0</v>
      </c>
      <c r="K408" s="118">
        <f t="shared" si="18"/>
        <v>30.270735712283237</v>
      </c>
      <c r="L408" s="118">
        <f t="shared" si="20"/>
        <v>39.352687999786404</v>
      </c>
      <c r="M408" s="117" t="str">
        <f t="shared" si="19"/>
        <v>보통</v>
      </c>
    </row>
    <row r="409" spans="1:13" ht="15.95" customHeight="1" x14ac:dyDescent="0.3">
      <c r="A409" s="119">
        <v>396</v>
      </c>
      <c r="B409" s="119" t="str">
        <f>Stage!C434</f>
        <v>N 396</v>
      </c>
      <c r="C409" s="119">
        <f>Stage!F434</f>
        <v>145</v>
      </c>
      <c r="D409" s="119">
        <f>IF(Stage!G434="",0,LEN(TRIM(Stage!G434))-LEN(SUBSTITUTE(TRIM(Stage!G434),",",""))+1)</f>
        <v>3</v>
      </c>
      <c r="E409" s="119">
        <f>IF(ISERROR(FIND(",",Stage!H434)),VALUE(Stage!H434),(VALUE(LEFT(Stage!H434,FIND(",",Stage!H434)-1))+VALUE(TRIM(MID(Stage!H434,FIND("|",SUBSTITUTE(Stage!H434,",","|",LEN(Stage!H434)-LEN(SUBSTITUTE(Stage!H434,",",""))))+1,100))))/2)</f>
        <v>2.5</v>
      </c>
      <c r="F409" s="119">
        <f>IF(ISERROR(FIND(",",Stage!I434)),VALUE(Stage!I434),(VALUE(LEFT(Stage!I434,FIND(",",Stage!I434)-1))+VALUE(TRIM(MID(Stage!I434,FIND("|",SUBSTITUTE(Stage!I434,",","|",LEN(Stage!I434)-LEN(SUBSTITUTE(Stage!I434,",",""))))+1,100))))/2)</f>
        <v>0.4</v>
      </c>
      <c r="G409" s="119">
        <f>IF(ISERROR(FIND(",",Stage!J434)),VALUE(Stage!J434),VALUE(LEFT(Stage!J434,FIND(",",Stage!J434)-1)))</f>
        <v>36</v>
      </c>
      <c r="H409" s="119">
        <f>IF(Stage!K434="",0,LEN(TRIM(Stage!K434))-LEN(SUBSTITUTE(TRIM(Stage!K434),",",""))+1)</f>
        <v>3</v>
      </c>
      <c r="I409" s="119">
        <f>Stage!O434+Stage!P434+Stage!N434+Stage!Q434+Stage!M434</f>
        <v>0</v>
      </c>
      <c r="J409" s="119">
        <f>IF(Stage!F434=0,0,I409/Stage!F434)</f>
        <v>0</v>
      </c>
      <c r="K409" s="120">
        <f t="shared" si="18"/>
        <v>36.19728463294485</v>
      </c>
      <c r="L409" s="120">
        <f t="shared" si="20"/>
        <v>34.779713511420823</v>
      </c>
      <c r="M409" s="119" t="str">
        <f t="shared" si="19"/>
        <v>보통</v>
      </c>
    </row>
    <row r="410" spans="1:13" ht="15.95" customHeight="1" x14ac:dyDescent="0.3">
      <c r="A410" s="117">
        <v>397</v>
      </c>
      <c r="B410" s="117" t="str">
        <f>Stage!C435</f>
        <v>N 397</v>
      </c>
      <c r="C410" s="117">
        <f>Stage!F435</f>
        <v>135</v>
      </c>
      <c r="D410" s="117">
        <f>IF(Stage!G435="",0,LEN(TRIM(Stage!G435))-LEN(SUBSTITUTE(TRIM(Stage!G435),",",""))+1)</f>
        <v>3</v>
      </c>
      <c r="E410" s="117">
        <f>IF(ISERROR(FIND(",",Stage!H435)),VALUE(Stage!H435),(VALUE(LEFT(Stage!H435,FIND(",",Stage!H435)-1))+VALUE(TRIM(MID(Stage!H435,FIND("|",SUBSTITUTE(Stage!H435,",","|",LEN(Stage!H435)-LEN(SUBSTITUTE(Stage!H435,",",""))))+1,100))))/2)</f>
        <v>2.5</v>
      </c>
      <c r="F410" s="117">
        <f>IF(ISERROR(FIND(",",Stage!I435)),VALUE(Stage!I435),(VALUE(LEFT(Stage!I435,FIND(",",Stage!I435)-1))+VALUE(TRIM(MID(Stage!I435,FIND("|",SUBSTITUTE(Stage!I435,",","|",LEN(Stage!I435)-LEN(SUBSTITUTE(Stage!I435,",",""))))+1,100))))/2)</f>
        <v>0.4</v>
      </c>
      <c r="G410" s="117">
        <f>IF(ISERROR(FIND(",",Stage!J435)),VALUE(Stage!J435),VALUE(LEFT(Stage!J435,FIND(",",Stage!J435)-1)))</f>
        <v>33</v>
      </c>
      <c r="H410" s="117">
        <f>IF(Stage!K435="",0,LEN(TRIM(Stage!K435))-LEN(SUBSTITUTE(TRIM(Stage!K435),",",""))+1)</f>
        <v>3</v>
      </c>
      <c r="I410" s="117">
        <f>Stage!O435+Stage!P435+Stage!N435+Stage!Q435+Stage!M435</f>
        <v>0</v>
      </c>
      <c r="J410" s="117">
        <f>IF(Stage!F435=0,0,I410/Stage!F435)</f>
        <v>0</v>
      </c>
      <c r="K410" s="118">
        <f t="shared" si="18"/>
        <v>35.356241739757294</v>
      </c>
      <c r="L410" s="118">
        <f t="shared" si="20"/>
        <v>34.701029276302613</v>
      </c>
      <c r="M410" s="117" t="str">
        <f t="shared" si="19"/>
        <v>보통</v>
      </c>
    </row>
    <row r="411" spans="1:13" ht="15.95" customHeight="1" x14ac:dyDescent="0.3">
      <c r="A411" s="119">
        <v>398</v>
      </c>
      <c r="B411" s="119" t="str">
        <f>Stage!C436</f>
        <v>N 398</v>
      </c>
      <c r="C411" s="119">
        <f>Stage!F436</f>
        <v>80</v>
      </c>
      <c r="D411" s="119">
        <f>IF(Stage!G436="",0,LEN(TRIM(Stage!G436))-LEN(SUBSTITUTE(TRIM(Stage!G436),",",""))+1)</f>
        <v>2</v>
      </c>
      <c r="E411" s="119">
        <f>IF(ISERROR(FIND(",",Stage!H436)),VALUE(Stage!H436),(VALUE(LEFT(Stage!H436,FIND(",",Stage!H436)-1))+VALUE(TRIM(MID(Stage!H436,FIND("|",SUBSTITUTE(Stage!H436,",","|",LEN(Stage!H436)-LEN(SUBSTITUTE(Stage!H436,",",""))))+1,100))))/2)</f>
        <v>2</v>
      </c>
      <c r="F411" s="119">
        <f>IF(ISERROR(FIND(",",Stage!I436)),VALUE(Stage!I436),(VALUE(LEFT(Stage!I436,FIND(",",Stage!I436)-1))+VALUE(TRIM(MID(Stage!I436,FIND("|",SUBSTITUTE(Stage!I436,",","|",LEN(Stage!I436)-LEN(SUBSTITUTE(Stage!I436,",",""))))+1,100))))/2)</f>
        <v>0.6</v>
      </c>
      <c r="G411" s="119">
        <f>IF(ISERROR(FIND(",",Stage!J436)),VALUE(Stage!J436),VALUE(LEFT(Stage!J436,FIND(",",Stage!J436)-1)))</f>
        <v>20</v>
      </c>
      <c r="H411" s="119">
        <f>IF(Stage!K436="",0,LEN(TRIM(Stage!K436))-LEN(SUBSTITUTE(TRIM(Stage!K436),",",""))+1)</f>
        <v>3</v>
      </c>
      <c r="I411" s="119">
        <f>Stage!O436+Stage!P436+Stage!N436+Stage!Q436+Stage!M436</f>
        <v>0</v>
      </c>
      <c r="J411" s="119">
        <f>IF(Stage!F436=0,0,I411/Stage!F436)</f>
        <v>0</v>
      </c>
      <c r="K411" s="120">
        <f t="shared" si="18"/>
        <v>26.607393167527732</v>
      </c>
      <c r="L411" s="120">
        <f t="shared" si="20"/>
        <v>36.614261684488767</v>
      </c>
      <c r="M411" s="119" t="str">
        <f t="shared" si="19"/>
        <v>보통</v>
      </c>
    </row>
    <row r="412" spans="1:13" ht="15.95" customHeight="1" x14ac:dyDescent="0.3">
      <c r="A412" s="117">
        <v>399</v>
      </c>
      <c r="B412" s="117" t="str">
        <f>Stage!C437</f>
        <v>N 399</v>
      </c>
      <c r="C412" s="117">
        <f>Stage!F437</f>
        <v>175</v>
      </c>
      <c r="D412" s="117">
        <f>IF(Stage!G437="",0,LEN(TRIM(Stage!G437))-LEN(SUBSTITUTE(TRIM(Stage!G437),",",""))+1)</f>
        <v>3</v>
      </c>
      <c r="E412" s="117">
        <f>IF(ISERROR(FIND(",",Stage!H437)),VALUE(Stage!H437),(VALUE(LEFT(Stage!H437,FIND(",",Stage!H437)-1))+VALUE(TRIM(MID(Stage!H437,FIND("|",SUBSTITUTE(Stage!H437,",","|",LEN(Stage!H437)-LEN(SUBSTITUTE(Stage!H437,",",""))))+1,100))))/2)</f>
        <v>3</v>
      </c>
      <c r="F412" s="117">
        <f>IF(ISERROR(FIND(",",Stage!I437)),VALUE(Stage!I437),(VALUE(LEFT(Stage!I437,FIND(",",Stage!I437)-1))+VALUE(TRIM(MID(Stage!I437,FIND("|",SUBSTITUTE(Stage!I437,",","|",LEN(Stage!I437)-LEN(SUBSTITUTE(Stage!I437,",",""))))+1,100))))/2)</f>
        <v>0.3</v>
      </c>
      <c r="G412" s="117">
        <f>IF(ISERROR(FIND(",",Stage!J437)),VALUE(Stage!J437),VALUE(LEFT(Stage!J437,FIND(",",Stage!J437)-1)))</f>
        <v>35</v>
      </c>
      <c r="H412" s="117">
        <f>IF(Stage!K437="",0,LEN(TRIM(Stage!K437))-LEN(SUBSTITUTE(TRIM(Stage!K437),",",""))+1)</f>
        <v>4</v>
      </c>
      <c r="I412" s="117">
        <f>Stage!O437+Stage!P437+Stage!N437+Stage!Q437+Stage!M437</f>
        <v>5</v>
      </c>
      <c r="J412" s="117">
        <f>IF(Stage!F437=0,0,I412/Stage!F437)</f>
        <v>2.8571428571428571E-2</v>
      </c>
      <c r="K412" s="118">
        <f t="shared" si="18"/>
        <v>45.073491128999954</v>
      </c>
      <c r="L412" s="118">
        <f t="shared" si="20"/>
        <v>37.743836903214529</v>
      </c>
      <c r="M412" s="117" t="str">
        <f t="shared" si="19"/>
        <v>어려움</v>
      </c>
    </row>
    <row r="413" spans="1:13" ht="15.95" customHeight="1" x14ac:dyDescent="0.3">
      <c r="A413" s="119">
        <v>400</v>
      </c>
      <c r="B413" s="119" t="str">
        <f>Stage!C438</f>
        <v>N 400</v>
      </c>
      <c r="C413" s="119">
        <f>Stage!F438</f>
        <v>160</v>
      </c>
      <c r="D413" s="119">
        <f>IF(Stage!G438="",0,LEN(TRIM(Stage!G438))-LEN(SUBSTITUTE(TRIM(Stage!G438),",",""))+1)</f>
        <v>3</v>
      </c>
      <c r="E413" s="119">
        <f>IF(ISERROR(FIND(",",Stage!H438)),VALUE(Stage!H438),(VALUE(LEFT(Stage!H438,FIND(",",Stage!H438)-1))+VALUE(TRIM(MID(Stage!H438,FIND("|",SUBSTITUTE(Stage!H438,",","|",LEN(Stage!H438)-LEN(SUBSTITUTE(Stage!H438,",",""))))+1,100))))/2)</f>
        <v>2.5</v>
      </c>
      <c r="F413" s="119">
        <f>IF(ISERROR(FIND(",",Stage!I438)),VALUE(Stage!I438),(VALUE(LEFT(Stage!I438,FIND(",",Stage!I438)-1))+VALUE(TRIM(MID(Stage!I438,FIND("|",SUBSTITUTE(Stage!I438,",","|",LEN(Stage!I438)-LEN(SUBSTITUTE(Stage!I438,",",""))))+1,100))))/2)</f>
        <v>0.4</v>
      </c>
      <c r="G413" s="119">
        <f>IF(ISERROR(FIND(",",Stage!J438)),VALUE(Stage!J438),VALUE(LEFT(Stage!J438,FIND(",",Stage!J438)-1)))</f>
        <v>32</v>
      </c>
      <c r="H413" s="119">
        <f>IF(Stage!K438="",0,LEN(TRIM(Stage!K438))-LEN(SUBSTITUTE(TRIM(Stage!K438),",",""))+1)</f>
        <v>4</v>
      </c>
      <c r="I413" s="119">
        <f>Stage!O438+Stage!P438+Stage!N438+Stage!Q438+Stage!M438</f>
        <v>2</v>
      </c>
      <c r="J413" s="119">
        <f>IF(Stage!F438=0,0,I413/Stage!F438)</f>
        <v>1.2500000000000001E-2</v>
      </c>
      <c r="K413" s="120">
        <f t="shared" si="18"/>
        <v>39.836897753213982</v>
      </c>
      <c r="L413" s="120">
        <f t="shared" si="20"/>
        <v>38.514557758365235</v>
      </c>
      <c r="M413" s="119" t="str">
        <f t="shared" si="19"/>
        <v>보통</v>
      </c>
    </row>
    <row r="414" spans="1:13" ht="15.95" customHeight="1" x14ac:dyDescent="0.3">
      <c r="A414" s="117">
        <v>401</v>
      </c>
      <c r="B414" s="117" t="str">
        <f>Stage!C439</f>
        <v>N 401</v>
      </c>
      <c r="C414" s="117">
        <f>Stage!F439</f>
        <v>165</v>
      </c>
      <c r="D414" s="117">
        <f>IF(Stage!G439="",0,LEN(TRIM(Stage!G439))-LEN(SUBSTITUTE(TRIM(Stage!G439),",",""))+1)</f>
        <v>3</v>
      </c>
      <c r="E414" s="117">
        <f>IF(ISERROR(FIND(",",Stage!H439)),VALUE(Stage!H439),(VALUE(LEFT(Stage!H439,FIND(",",Stage!H439)-1))+VALUE(TRIM(MID(Stage!H439,FIND("|",SUBSTITUTE(Stage!H439,",","|",LEN(Stage!H439)-LEN(SUBSTITUTE(Stage!H439,",",""))))+1,100))))/2)</f>
        <v>2.5</v>
      </c>
      <c r="F414" s="117">
        <f>IF(ISERROR(FIND(",",Stage!I439)),VALUE(Stage!I439),(VALUE(LEFT(Stage!I439,FIND(",",Stage!I439)-1))+VALUE(TRIM(MID(Stage!I439,FIND("|",SUBSTITUTE(Stage!I439,",","|",LEN(Stage!I439)-LEN(SUBSTITUTE(Stage!I439,",",""))))+1,100))))/2)</f>
        <v>0.3</v>
      </c>
      <c r="G414" s="117">
        <f>IF(ISERROR(FIND(",",Stage!J439)),VALUE(Stage!J439),VALUE(LEFT(Stage!J439,FIND(",",Stage!J439)-1)))</f>
        <v>33</v>
      </c>
      <c r="H414" s="117">
        <f>IF(Stage!K439="",0,LEN(TRIM(Stage!K439))-LEN(SUBSTITUTE(TRIM(Stage!K439),",",""))+1)</f>
        <v>4</v>
      </c>
      <c r="I414" s="117">
        <f>Stage!O439+Stage!P439+Stage!N439+Stage!Q439+Stage!M439</f>
        <v>3</v>
      </c>
      <c r="J414" s="117">
        <f>IF(Stage!F439=0,0,I414/Stage!F439)</f>
        <v>1.8181818181818181E-2</v>
      </c>
      <c r="K414" s="118">
        <f t="shared" si="18"/>
        <v>41.845160726573674</v>
      </c>
      <c r="L414" s="118">
        <f t="shared" si="20"/>
        <v>41.160458675502483</v>
      </c>
      <c r="M414" s="117" t="str">
        <f t="shared" si="19"/>
        <v>보통</v>
      </c>
    </row>
    <row r="415" spans="1:13" ht="15.95" customHeight="1" x14ac:dyDescent="0.3">
      <c r="A415" s="119">
        <v>402</v>
      </c>
      <c r="B415" s="119" t="str">
        <f>Stage!C440</f>
        <v>N 402</v>
      </c>
      <c r="C415" s="119">
        <f>Stage!F440</f>
        <v>155</v>
      </c>
      <c r="D415" s="119">
        <f>IF(Stage!G440="",0,LEN(TRIM(Stage!G440))-LEN(SUBSTITUTE(TRIM(Stage!G440),",",""))+1)</f>
        <v>3</v>
      </c>
      <c r="E415" s="119">
        <f>IF(ISERROR(FIND(",",Stage!H440)),VALUE(Stage!H440),(VALUE(LEFT(Stage!H440,FIND(",",Stage!H440)-1))+VALUE(TRIM(MID(Stage!H440,FIND("|",SUBSTITUTE(Stage!H440,",","|",LEN(Stage!H440)-LEN(SUBSTITUTE(Stage!H440,",",""))))+1,100))))/2)</f>
        <v>2.5</v>
      </c>
      <c r="F415" s="119">
        <f>IF(ISERROR(FIND(",",Stage!I440)),VALUE(Stage!I440),(VALUE(LEFT(Stage!I440,FIND(",",Stage!I440)-1))+VALUE(TRIM(MID(Stage!I440,FIND("|",SUBSTITUTE(Stage!I440,",","|",LEN(Stage!I440)-LEN(SUBSTITUTE(Stage!I440,",",""))))+1,100))))/2)</f>
        <v>0.4</v>
      </c>
      <c r="G415" s="119">
        <f>IF(ISERROR(FIND(",",Stage!J440)),VALUE(Stage!J440),VALUE(LEFT(Stage!J440,FIND(",",Stage!J440)-1)))</f>
        <v>31</v>
      </c>
      <c r="H415" s="119">
        <f>IF(Stage!K440="",0,LEN(TRIM(Stage!K440))-LEN(SUBSTITUTE(TRIM(Stage!K440),",",""))+1)</f>
        <v>4</v>
      </c>
      <c r="I415" s="119">
        <f>Stage!O440+Stage!P440+Stage!N440+Stage!Q440+Stage!M440</f>
        <v>1</v>
      </c>
      <c r="J415" s="119">
        <f>IF(Stage!F440=0,0,I415/Stage!F440)</f>
        <v>6.4516129032258064E-3</v>
      </c>
      <c r="K415" s="120">
        <f t="shared" si="18"/>
        <v>39.209846015510841</v>
      </c>
      <c r="L415" s="120">
        <f t="shared" si="20"/>
        <v>41.041921100674401</v>
      </c>
      <c r="M415" s="119" t="str">
        <f t="shared" si="19"/>
        <v>보통</v>
      </c>
    </row>
    <row r="416" spans="1:13" ht="15.95" customHeight="1" x14ac:dyDescent="0.3">
      <c r="A416" s="117">
        <v>403</v>
      </c>
      <c r="B416" s="117" t="str">
        <f>Stage!C441</f>
        <v>N 403</v>
      </c>
      <c r="C416" s="117">
        <f>Stage!F441</f>
        <v>160</v>
      </c>
      <c r="D416" s="117">
        <f>IF(Stage!G441="",0,LEN(TRIM(Stage!G441))-LEN(SUBSTITUTE(TRIM(Stage!G441),",",""))+1)</f>
        <v>3</v>
      </c>
      <c r="E416" s="117">
        <f>IF(ISERROR(FIND(",",Stage!H441)),VALUE(Stage!H441),(VALUE(LEFT(Stage!H441,FIND(",",Stage!H441)-1))+VALUE(TRIM(MID(Stage!H441,FIND("|",SUBSTITUTE(Stage!H441,",","|",LEN(Stage!H441)-LEN(SUBSTITUTE(Stage!H441,",",""))))+1,100))))/2)</f>
        <v>2.5</v>
      </c>
      <c r="F416" s="117">
        <f>IF(ISERROR(FIND(",",Stage!I441)),VALUE(Stage!I441),(VALUE(LEFT(Stage!I441,FIND(",",Stage!I441)-1))+VALUE(TRIM(MID(Stage!I441,FIND("|",SUBSTITUTE(Stage!I441,",","|",LEN(Stage!I441)-LEN(SUBSTITUTE(Stage!I441,",",""))))+1,100))))/2)</f>
        <v>0.4</v>
      </c>
      <c r="G416" s="117">
        <f>IF(ISERROR(FIND(",",Stage!J441)),VALUE(Stage!J441),VALUE(LEFT(Stage!J441,FIND(",",Stage!J441)-1)))</f>
        <v>32</v>
      </c>
      <c r="H416" s="117">
        <f>IF(Stage!K441="",0,LEN(TRIM(Stage!K441))-LEN(SUBSTITUTE(TRIM(Stage!K441),",",""))+1)</f>
        <v>4</v>
      </c>
      <c r="I416" s="117">
        <f>Stage!O441+Stage!P441+Stage!N441+Stage!Q441+Stage!M441</f>
        <v>2</v>
      </c>
      <c r="J416" s="117">
        <f>IF(Stage!F441=0,0,I416/Stage!F441)</f>
        <v>1.2500000000000001E-2</v>
      </c>
      <c r="K416" s="118">
        <f t="shared" si="18"/>
        <v>39.836897753213982</v>
      </c>
      <c r="L416" s="118">
        <f t="shared" si="20"/>
        <v>40.833875123662907</v>
      </c>
      <c r="M416" s="117" t="str">
        <f t="shared" si="19"/>
        <v>보통</v>
      </c>
    </row>
    <row r="417" spans="1:13" ht="15.95" customHeight="1" x14ac:dyDescent="0.3">
      <c r="A417" s="119">
        <v>404</v>
      </c>
      <c r="B417" s="119" t="str">
        <f>Stage!C442</f>
        <v>N 404</v>
      </c>
      <c r="C417" s="119">
        <f>Stage!F442</f>
        <v>170</v>
      </c>
      <c r="D417" s="119">
        <f>IF(Stage!G442="",0,LEN(TRIM(Stage!G442))-LEN(SUBSTITUTE(TRIM(Stage!G442),",",""))+1)</f>
        <v>3</v>
      </c>
      <c r="E417" s="119">
        <f>IF(ISERROR(FIND(",",Stage!H442)),VALUE(Stage!H442),(VALUE(LEFT(Stage!H442,FIND(",",Stage!H442)-1))+VALUE(TRIM(MID(Stage!H442,FIND("|",SUBSTITUTE(Stage!H442,",","|",LEN(Stage!H442)-LEN(SUBSTITUTE(Stage!H442,",",""))))+1,100))))/2)</f>
        <v>3</v>
      </c>
      <c r="F417" s="119">
        <f>IF(ISERROR(FIND(",",Stage!I442)),VALUE(Stage!I442),(VALUE(LEFT(Stage!I442,FIND(",",Stage!I442)-1))+VALUE(TRIM(MID(Stage!I442,FIND("|",SUBSTITUTE(Stage!I442,",","|",LEN(Stage!I442)-LEN(SUBSTITUTE(Stage!I442,",",""))))+1,100))))/2)</f>
        <v>0.3</v>
      </c>
      <c r="G417" s="119">
        <f>IF(ISERROR(FIND(",",Stage!J442)),VALUE(Stage!J442),VALUE(LEFT(Stage!J442,FIND(",",Stage!J442)-1)))</f>
        <v>34</v>
      </c>
      <c r="H417" s="119">
        <f>IF(Stage!K442="",0,LEN(TRIM(Stage!K442))-LEN(SUBSTITUTE(TRIM(Stage!K442),",",""))+1)</f>
        <v>4</v>
      </c>
      <c r="I417" s="119">
        <f>Stage!O442+Stage!P442+Stage!N442+Stage!Q442+Stage!M442</f>
        <v>4</v>
      </c>
      <c r="J417" s="119">
        <f>IF(Stage!F442=0,0,I417/Stage!F442)</f>
        <v>2.3529411764705882E-2</v>
      </c>
      <c r="K417" s="120">
        <f t="shared" si="18"/>
        <v>44.480803254859552</v>
      </c>
      <c r="L417" s="120">
        <f t="shared" si="20"/>
        <v>38.682633038022175</v>
      </c>
      <c r="M417" s="119" t="str">
        <f t="shared" si="19"/>
        <v>보통</v>
      </c>
    </row>
    <row r="418" spans="1:13" ht="15.95" customHeight="1" x14ac:dyDescent="0.3">
      <c r="A418" s="117">
        <v>405</v>
      </c>
      <c r="B418" s="117" t="str">
        <f>Stage!C443</f>
        <v>N 405</v>
      </c>
      <c r="C418" s="117">
        <f>Stage!F443</f>
        <v>150</v>
      </c>
      <c r="D418" s="117">
        <f>IF(Stage!G443="",0,LEN(TRIM(Stage!G443))-LEN(SUBSTITUTE(TRIM(Stage!G443),",",""))+1)</f>
        <v>3</v>
      </c>
      <c r="E418" s="117">
        <f>IF(ISERROR(FIND(",",Stage!H443)),VALUE(Stage!H443),(VALUE(LEFT(Stage!H443,FIND(",",Stage!H443)-1))+VALUE(TRIM(MID(Stage!H443,FIND("|",SUBSTITUTE(Stage!H443,",","|",LEN(Stage!H443)-LEN(SUBSTITUTE(Stage!H443,",",""))))+1,100))))/2)</f>
        <v>2.5</v>
      </c>
      <c r="F418" s="117">
        <f>IF(ISERROR(FIND(",",Stage!I443)),VALUE(Stage!I443),(VALUE(LEFT(Stage!I443,FIND(",",Stage!I443)-1))+VALUE(TRIM(MID(Stage!I443,FIND("|",SUBSTITUTE(Stage!I443,",","|",LEN(Stage!I443)-LEN(SUBSTITUTE(Stage!I443,",",""))))+1,100))))/2)</f>
        <v>0.4</v>
      </c>
      <c r="G418" s="117">
        <f>IF(ISERROR(FIND(",",Stage!J443)),VALUE(Stage!J443),VALUE(LEFT(Stage!J443,FIND(",",Stage!J443)-1)))</f>
        <v>30</v>
      </c>
      <c r="H418" s="117">
        <f>IF(Stage!K443="",0,LEN(TRIM(Stage!K443))-LEN(SUBSTITUTE(TRIM(Stage!K443),",",""))+1)</f>
        <v>4</v>
      </c>
      <c r="I418" s="117">
        <f>Stage!O443+Stage!P443+Stage!N443+Stage!Q443+Stage!M443</f>
        <v>1</v>
      </c>
      <c r="J418" s="117">
        <f>IF(Stage!F443=0,0,I418/Stage!F443)</f>
        <v>6.6666666666666671E-3</v>
      </c>
      <c r="K418" s="118">
        <f t="shared" si="18"/>
        <v>38.796667868156511</v>
      </c>
      <c r="L418" s="118">
        <f t="shared" si="20"/>
        <v>40.514790278025245</v>
      </c>
      <c r="M418" s="117" t="str">
        <f t="shared" si="19"/>
        <v>보통</v>
      </c>
    </row>
    <row r="419" spans="1:13" ht="15.95" customHeight="1" x14ac:dyDescent="0.3">
      <c r="A419" s="119">
        <v>406</v>
      </c>
      <c r="B419" s="119" t="str">
        <f>Stage!C444</f>
        <v>N 406</v>
      </c>
      <c r="C419" s="119">
        <f>Stage!F444</f>
        <v>125</v>
      </c>
      <c r="D419" s="119">
        <f>IF(Stage!G444="",0,LEN(TRIM(Stage!G444))-LEN(SUBSTITUTE(TRIM(Stage!G444),",",""))+1)</f>
        <v>3</v>
      </c>
      <c r="E419" s="119">
        <f>IF(ISERROR(FIND(",",Stage!H444)),VALUE(Stage!H444),(VALUE(LEFT(Stage!H444,FIND(",",Stage!H444)-1))+VALUE(TRIM(MID(Stage!H444,FIND("|",SUBSTITUTE(Stage!H444,",","|",LEN(Stage!H444)-LEN(SUBSTITUTE(Stage!H444,",",""))))+1,100))))/2)</f>
        <v>2</v>
      </c>
      <c r="F419" s="119">
        <f>IF(ISERROR(FIND(",",Stage!I444)),VALUE(Stage!I444),(VALUE(LEFT(Stage!I444,FIND(",",Stage!I444)-1))+VALUE(TRIM(MID(Stage!I444,FIND("|",SUBSTITUTE(Stage!I444,",","|",LEN(Stage!I444)-LEN(SUBSTITUTE(Stage!I444,",",""))))+1,100))))/2)</f>
        <v>0.5</v>
      </c>
      <c r="G419" s="119">
        <f>IF(ISERROR(FIND(",",Stage!J444)),VALUE(Stage!J444),VALUE(LEFT(Stage!J444,FIND(",",Stage!J444)-1)))</f>
        <v>31</v>
      </c>
      <c r="H419" s="119">
        <f>IF(Stage!K444="",0,LEN(TRIM(Stage!K444))-LEN(SUBSTITUTE(TRIM(Stage!K444),",",""))+1)</f>
        <v>3</v>
      </c>
      <c r="I419" s="119">
        <f>Stage!O444+Stage!P444+Stage!N444+Stage!Q444+Stage!M444</f>
        <v>0</v>
      </c>
      <c r="J419" s="119">
        <f>IF(Stage!F444=0,0,I419/Stage!F444)</f>
        <v>0</v>
      </c>
      <c r="K419" s="120">
        <f t="shared" si="18"/>
        <v>31.088950298369983</v>
      </c>
      <c r="L419" s="120">
        <f t="shared" si="20"/>
        <v>41.957479212303745</v>
      </c>
      <c r="M419" s="119" t="str">
        <f t="shared" si="19"/>
        <v>보통</v>
      </c>
    </row>
    <row r="420" spans="1:13" ht="15.95" customHeight="1" x14ac:dyDescent="0.3">
      <c r="A420" s="117">
        <v>407</v>
      </c>
      <c r="B420" s="117" t="str">
        <f>Stage!C445</f>
        <v>N 407</v>
      </c>
      <c r="C420" s="117">
        <f>Stage!F445</f>
        <v>190</v>
      </c>
      <c r="D420" s="117">
        <f>IF(Stage!G445="",0,LEN(TRIM(Stage!G445))-LEN(SUBSTITUTE(TRIM(Stage!G445),",",""))+1)</f>
        <v>3</v>
      </c>
      <c r="E420" s="117">
        <f>IF(ISERROR(FIND(",",Stage!H445)),VALUE(Stage!H445),(VALUE(LEFT(Stage!H445,FIND(",",Stage!H445)-1))+VALUE(TRIM(MID(Stage!H445,FIND("|",SUBSTITUTE(Stage!H445,",","|",LEN(Stage!H445)-LEN(SUBSTITUTE(Stage!H445,",",""))))+1,100))))/2)</f>
        <v>3</v>
      </c>
      <c r="F420" s="117">
        <f>IF(ISERROR(FIND(",",Stage!I445)),VALUE(Stage!I445),(VALUE(LEFT(Stage!I445,FIND(",",Stage!I445)-1))+VALUE(TRIM(MID(Stage!I445,FIND("|",SUBSTITUTE(Stage!I445,",","|",LEN(Stage!I445)-LEN(SUBSTITUTE(Stage!I445,",",""))))+1,100))))/2)</f>
        <v>0.2</v>
      </c>
      <c r="G420" s="117">
        <f>IF(ISERROR(FIND(",",Stage!J445)),VALUE(Stage!J445),VALUE(LEFT(Stage!J445,FIND(",",Stage!J445)-1)))</f>
        <v>38</v>
      </c>
      <c r="H420" s="117">
        <f>IF(Stage!K445="",0,LEN(TRIM(Stage!K445))-LEN(SUBSTITUTE(TRIM(Stage!K445),",",""))+1)</f>
        <v>4</v>
      </c>
      <c r="I420" s="117">
        <f>Stage!O445+Stage!P445+Stage!N445+Stage!Q445+Stage!M445</f>
        <v>9</v>
      </c>
      <c r="J420" s="117">
        <f>IF(Stage!F445=0,0,I420/Stage!F445)</f>
        <v>4.736842105263158E-2</v>
      </c>
      <c r="K420" s="118">
        <f t="shared" si="18"/>
        <v>48.3706322155262</v>
      </c>
      <c r="L420" s="118">
        <f t="shared" si="20"/>
        <v>40.048462619964546</v>
      </c>
      <c r="M420" s="117" t="str">
        <f t="shared" si="19"/>
        <v>어려움</v>
      </c>
    </row>
    <row r="421" spans="1:13" ht="15.95" customHeight="1" x14ac:dyDescent="0.3">
      <c r="A421" s="119">
        <v>408</v>
      </c>
      <c r="B421" s="119" t="str">
        <f>Stage!C446</f>
        <v>N 408</v>
      </c>
      <c r="C421" s="119">
        <f>Stage!F446</f>
        <v>180</v>
      </c>
      <c r="D421" s="119">
        <f>IF(Stage!G446="",0,LEN(TRIM(Stage!G446))-LEN(SUBSTITUTE(TRIM(Stage!G446),",",""))+1)</f>
        <v>3</v>
      </c>
      <c r="E421" s="119">
        <f>IF(ISERROR(FIND(",",Stage!H446)),VALUE(Stage!H446),(VALUE(LEFT(Stage!H446,FIND(",",Stage!H446)-1))+VALUE(TRIM(MID(Stage!H446,FIND("|",SUBSTITUTE(Stage!H446,",","|",LEN(Stage!H446)-LEN(SUBSTITUTE(Stage!H446,",",""))))+1,100))))/2)</f>
        <v>3</v>
      </c>
      <c r="F421" s="119">
        <f>IF(ISERROR(FIND(",",Stage!I446)),VALUE(Stage!I446),(VALUE(LEFT(Stage!I446,FIND(",",Stage!I446)-1))+VALUE(TRIM(MID(Stage!I446,FIND("|",SUBSTITUTE(Stage!I446,",","|",LEN(Stage!I446)-LEN(SUBSTITUTE(Stage!I446,",",""))))+1,100))))/2)</f>
        <v>0.2</v>
      </c>
      <c r="G421" s="119">
        <f>IF(ISERROR(FIND(",",Stage!J446)),VALUE(Stage!J446),VALUE(LEFT(Stage!J446,FIND(",",Stage!J446)-1)))</f>
        <v>36</v>
      </c>
      <c r="H421" s="119">
        <f>IF(Stage!K446="",0,LEN(TRIM(Stage!K446))-LEN(SUBSTITUTE(TRIM(Stage!K446),",",""))+1)</f>
        <v>4</v>
      </c>
      <c r="I421" s="119">
        <f>Stage!O446+Stage!P446+Stage!N446+Stage!Q446+Stage!M446</f>
        <v>6</v>
      </c>
      <c r="J421" s="119">
        <f>IF(Stage!F446=0,0,I421/Stage!F446)</f>
        <v>3.3333333333333333E-2</v>
      </c>
      <c r="K421" s="120">
        <f t="shared" si="18"/>
        <v>47.050342424606512</v>
      </c>
      <c r="L421" s="120">
        <f t="shared" si="20"/>
        <v>40.658161191647977</v>
      </c>
      <c r="M421" s="119" t="str">
        <f t="shared" si="19"/>
        <v>어려움</v>
      </c>
    </row>
    <row r="422" spans="1:13" ht="15.95" customHeight="1" x14ac:dyDescent="0.3">
      <c r="A422" s="117">
        <v>409</v>
      </c>
      <c r="B422" s="117" t="str">
        <f>Stage!C447</f>
        <v>N 409</v>
      </c>
      <c r="C422" s="117">
        <f>Stage!F447</f>
        <v>130</v>
      </c>
      <c r="D422" s="117">
        <f>IF(Stage!G447="",0,LEN(TRIM(Stage!G447))-LEN(SUBSTITUTE(TRIM(Stage!G447),",",""))+1)</f>
        <v>3</v>
      </c>
      <c r="E422" s="117">
        <f>IF(ISERROR(FIND(",",Stage!H447)),VALUE(Stage!H447),(VALUE(LEFT(Stage!H447,FIND(",",Stage!H447)-1))+VALUE(TRIM(MID(Stage!H447,FIND("|",SUBSTITUTE(Stage!H447,",","|",LEN(Stage!H447)-LEN(SUBSTITUTE(Stage!H447,",",""))))+1,100))))/2)</f>
        <v>2.5</v>
      </c>
      <c r="F422" s="117">
        <f>IF(ISERROR(FIND(",",Stage!I447)),VALUE(Stage!I447),(VALUE(LEFT(Stage!I447,FIND(",",Stage!I447)-1))+VALUE(TRIM(MID(Stage!I447,FIND("|",SUBSTITUTE(Stage!I447,",","|",LEN(Stage!I447)-LEN(SUBSTITUTE(Stage!I447,",",""))))+1,100))))/2)</f>
        <v>0.4</v>
      </c>
      <c r="G422" s="117">
        <f>IF(ISERROR(FIND(",",Stage!J447)),VALUE(Stage!J447),VALUE(LEFT(Stage!J447,FIND(",",Stage!J447)-1)))</f>
        <v>32</v>
      </c>
      <c r="H422" s="117">
        <f>IF(Stage!K447="",0,LEN(TRIM(Stage!K447))-LEN(SUBSTITUTE(TRIM(Stage!K447),",",""))+1)</f>
        <v>3</v>
      </c>
      <c r="I422" s="117">
        <f>Stage!O447+Stage!P447+Stage!N447+Stage!Q447+Stage!M447</f>
        <v>0</v>
      </c>
      <c r="J422" s="117">
        <f>IF(Stage!F447=0,0,I422/Stage!F447)</f>
        <v>0</v>
      </c>
      <c r="K422" s="118">
        <f t="shared" si="18"/>
        <v>34.93572029316352</v>
      </c>
      <c r="L422" s="118">
        <f t="shared" si="20"/>
        <v>44.334824253845099</v>
      </c>
      <c r="M422" s="117" t="str">
        <f t="shared" si="19"/>
        <v>보통</v>
      </c>
    </row>
    <row r="423" spans="1:13" ht="15.95" customHeight="1" x14ac:dyDescent="0.3">
      <c r="A423" s="119">
        <v>410</v>
      </c>
      <c r="B423" s="119" t="str">
        <f>Stage!C448</f>
        <v>N 410</v>
      </c>
      <c r="C423" s="119">
        <f>Stage!F448</f>
        <v>165</v>
      </c>
      <c r="D423" s="119">
        <f>IF(Stage!G448="",0,LEN(TRIM(Stage!G448))-LEN(SUBSTITUTE(TRIM(Stage!G448),",",""))+1)</f>
        <v>3</v>
      </c>
      <c r="E423" s="119">
        <f>IF(ISERROR(FIND(",",Stage!H448)),VALUE(Stage!H448),(VALUE(LEFT(Stage!H448,FIND(",",Stage!H448)-1))+VALUE(TRIM(MID(Stage!H448,FIND("|",SUBSTITUTE(Stage!H448,",","|",LEN(Stage!H448)-LEN(SUBSTITUTE(Stage!H448,",",""))))+1,100))))/2)</f>
        <v>2.5</v>
      </c>
      <c r="F423" s="119">
        <f>IF(ISERROR(FIND(",",Stage!I448)),VALUE(Stage!I448),(VALUE(LEFT(Stage!I448,FIND(",",Stage!I448)-1))+VALUE(TRIM(MID(Stage!I448,FIND("|",SUBSTITUTE(Stage!I448,",","|",LEN(Stage!I448)-LEN(SUBSTITUTE(Stage!I448,",",""))))+1,100))))/2)</f>
        <v>0.3</v>
      </c>
      <c r="G423" s="119">
        <f>IF(ISERROR(FIND(",",Stage!J448)),VALUE(Stage!J448),VALUE(LEFT(Stage!J448,FIND(",",Stage!J448)-1)))</f>
        <v>33</v>
      </c>
      <c r="H423" s="119">
        <f>IF(Stage!K448="",0,LEN(TRIM(Stage!K448))-LEN(SUBSTITUTE(TRIM(Stage!K448),",",""))+1)</f>
        <v>4</v>
      </c>
      <c r="I423" s="119">
        <f>Stage!O448+Stage!P448+Stage!N448+Stage!Q448+Stage!M448</f>
        <v>3</v>
      </c>
      <c r="J423" s="119">
        <f>IF(Stage!F448=0,0,I423/Stage!F448)</f>
        <v>1.8181818181818181E-2</v>
      </c>
      <c r="K423" s="120">
        <f t="shared" si="18"/>
        <v>41.845160726573674</v>
      </c>
      <c r="L423" s="120">
        <f t="shared" si="20"/>
        <v>44.555150932610978</v>
      </c>
      <c r="M423" s="119" t="str">
        <f t="shared" si="19"/>
        <v>보통</v>
      </c>
    </row>
    <row r="424" spans="1:13" ht="15.95" customHeight="1" x14ac:dyDescent="0.3">
      <c r="A424" s="117">
        <v>411</v>
      </c>
      <c r="B424" s="117" t="str">
        <f>Stage!C449</f>
        <v>N 411</v>
      </c>
      <c r="C424" s="117">
        <f>Stage!F449</f>
        <v>200</v>
      </c>
      <c r="D424" s="117">
        <f>IF(Stage!G449="",0,LEN(TRIM(Stage!G449))-LEN(SUBSTITUTE(TRIM(Stage!G449),",",""))+1)</f>
        <v>3</v>
      </c>
      <c r="E424" s="117">
        <f>IF(ISERROR(FIND(",",Stage!H449)),VALUE(Stage!H449),(VALUE(LEFT(Stage!H449,FIND(",",Stage!H449)-1))+VALUE(TRIM(MID(Stage!H449,FIND("|",SUBSTITUTE(Stage!H449,",","|",LEN(Stage!H449)-LEN(SUBSTITUTE(Stage!H449,",",""))))+1,100))))/2)</f>
        <v>3</v>
      </c>
      <c r="F424" s="117">
        <f>IF(ISERROR(FIND(",",Stage!I449)),VALUE(Stage!I449),(VALUE(LEFT(Stage!I449,FIND(",",Stage!I449)-1))+VALUE(TRIM(MID(Stage!I449,FIND("|",SUBSTITUTE(Stage!I449,",","|",LEN(Stage!I449)-LEN(SUBSTITUTE(Stage!I449,",",""))))+1,100))))/2)</f>
        <v>0.2</v>
      </c>
      <c r="G424" s="117">
        <f>IF(ISERROR(FIND(",",Stage!J449)),VALUE(Stage!J449),VALUE(LEFT(Stage!J449,FIND(",",Stage!J449)-1)))</f>
        <v>40</v>
      </c>
      <c r="H424" s="117">
        <f>IF(Stage!K449="",0,LEN(TRIM(Stage!K449))-LEN(SUBSTITUTE(TRIM(Stage!K449),",",""))+1)</f>
        <v>4</v>
      </c>
      <c r="I424" s="117">
        <f>Stage!O449+Stage!P449+Stage!N449+Stage!Q449+Stage!M449</f>
        <v>11</v>
      </c>
      <c r="J424" s="117">
        <f>IF(Stage!F449=0,0,I424/Stage!F449)</f>
        <v>5.5E-2</v>
      </c>
      <c r="K424" s="118">
        <f t="shared" si="18"/>
        <v>49.472265609355603</v>
      </c>
      <c r="L424" s="118">
        <f t="shared" si="20"/>
        <v>44.041243098661589</v>
      </c>
      <c r="M424" s="117" t="str">
        <f t="shared" si="19"/>
        <v>어려움</v>
      </c>
    </row>
    <row r="425" spans="1:13" ht="15.95" customHeight="1" x14ac:dyDescent="0.3">
      <c r="A425" s="119">
        <v>412</v>
      </c>
      <c r="B425" s="119" t="str">
        <f>Stage!C450</f>
        <v>N 412</v>
      </c>
      <c r="C425" s="119">
        <f>Stage!F450</f>
        <v>200</v>
      </c>
      <c r="D425" s="119">
        <f>IF(Stage!G450="",0,LEN(TRIM(Stage!G450))-LEN(SUBSTITUTE(TRIM(Stage!G450),",",""))+1)</f>
        <v>3</v>
      </c>
      <c r="E425" s="119">
        <f>IF(ISERROR(FIND(",",Stage!H450)),VALUE(Stage!H450),(VALUE(LEFT(Stage!H450,FIND(",",Stage!H450)-1))+VALUE(TRIM(MID(Stage!H450,FIND("|",SUBSTITUTE(Stage!H450,",","|",LEN(Stage!H450)-LEN(SUBSTITUTE(Stage!H450,",",""))))+1,100))))/2)</f>
        <v>3</v>
      </c>
      <c r="F425" s="119">
        <f>IF(ISERROR(FIND(",",Stage!I450)),VALUE(Stage!I450),(VALUE(LEFT(Stage!I450,FIND(",",Stage!I450)-1))+VALUE(TRIM(MID(Stage!I450,FIND("|",SUBSTITUTE(Stage!I450,",","|",LEN(Stage!I450)-LEN(SUBSTITUTE(Stage!I450,",",""))))+1,100))))/2)</f>
        <v>0.2</v>
      </c>
      <c r="G425" s="119">
        <f>IF(ISERROR(FIND(",",Stage!J450)),VALUE(Stage!J450),VALUE(LEFT(Stage!J450,FIND(",",Stage!J450)-1)))</f>
        <v>40</v>
      </c>
      <c r="H425" s="119">
        <f>IF(Stage!K450="",0,LEN(TRIM(Stage!K450))-LEN(SUBSTITUTE(TRIM(Stage!K450),",",""))+1)</f>
        <v>4</v>
      </c>
      <c r="I425" s="119">
        <f>Stage!O450+Stage!P450+Stage!N450+Stage!Q450+Stage!M450</f>
        <v>11</v>
      </c>
      <c r="J425" s="119">
        <f>IF(Stage!F450=0,0,I425/Stage!F450)</f>
        <v>5.5E-2</v>
      </c>
      <c r="K425" s="120">
        <f t="shared" si="18"/>
        <v>49.472265609355603</v>
      </c>
      <c r="L425" s="120">
        <f t="shared" si="20"/>
        <v>45.300224235270981</v>
      </c>
      <c r="M425" s="119" t="str">
        <f t="shared" si="19"/>
        <v>어려움</v>
      </c>
    </row>
    <row r="426" spans="1:13" ht="15.95" customHeight="1" x14ac:dyDescent="0.3">
      <c r="A426" s="117">
        <v>413</v>
      </c>
      <c r="B426" s="117" t="str">
        <f>Stage!C451</f>
        <v>N 413</v>
      </c>
      <c r="C426" s="117">
        <f>Stage!F451</f>
        <v>170</v>
      </c>
      <c r="D426" s="117">
        <f>IF(Stage!G451="",0,LEN(TRIM(Stage!G451))-LEN(SUBSTITUTE(TRIM(Stage!G451),",",""))+1)</f>
        <v>3</v>
      </c>
      <c r="E426" s="117">
        <f>IF(ISERROR(FIND(",",Stage!H451)),VALUE(Stage!H451),(VALUE(LEFT(Stage!H451,FIND(",",Stage!H451)-1))+VALUE(TRIM(MID(Stage!H451,FIND("|",SUBSTITUTE(Stage!H451,",","|",LEN(Stage!H451)-LEN(SUBSTITUTE(Stage!H451,",",""))))+1,100))))/2)</f>
        <v>3</v>
      </c>
      <c r="F426" s="117">
        <f>IF(ISERROR(FIND(",",Stage!I451)),VALUE(Stage!I451),(VALUE(LEFT(Stage!I451,FIND(",",Stage!I451)-1))+VALUE(TRIM(MID(Stage!I451,FIND("|",SUBSTITUTE(Stage!I451,",","|",LEN(Stage!I451)-LEN(SUBSTITUTE(Stage!I451,",",""))))+1,100))))/2)</f>
        <v>0.3</v>
      </c>
      <c r="G426" s="117">
        <f>IF(ISERROR(FIND(",",Stage!J451)),VALUE(Stage!J451),VALUE(LEFT(Stage!J451,FIND(",",Stage!J451)-1)))</f>
        <v>34</v>
      </c>
      <c r="H426" s="117">
        <f>IF(Stage!K451="",0,LEN(TRIM(Stage!K451))-LEN(SUBSTITUTE(TRIM(Stage!K451),",",""))+1)</f>
        <v>4</v>
      </c>
      <c r="I426" s="117">
        <f>Stage!O451+Stage!P451+Stage!N451+Stage!Q451+Stage!M451</f>
        <v>4</v>
      </c>
      <c r="J426" s="117">
        <f>IF(Stage!F451=0,0,I426/Stage!F451)</f>
        <v>2.3529411764705882E-2</v>
      </c>
      <c r="K426" s="118">
        <f t="shared" si="18"/>
        <v>44.480803254859552</v>
      </c>
      <c r="L426" s="118">
        <f t="shared" si="20"/>
        <v>44.002440437907708</v>
      </c>
      <c r="M426" s="117" t="str">
        <f t="shared" si="19"/>
        <v>보통</v>
      </c>
    </row>
    <row r="427" spans="1:13" ht="15.95" customHeight="1" x14ac:dyDescent="0.3">
      <c r="A427" s="119">
        <v>414</v>
      </c>
      <c r="B427" s="119" t="str">
        <f>Stage!C452</f>
        <v>N 414</v>
      </c>
      <c r="C427" s="119">
        <f>Stage!F452</f>
        <v>160</v>
      </c>
      <c r="D427" s="119">
        <f>IF(Stage!G452="",0,LEN(TRIM(Stage!G452))-LEN(SUBSTITUTE(TRIM(Stage!G452),",",""))+1)</f>
        <v>3</v>
      </c>
      <c r="E427" s="119">
        <f>IF(ISERROR(FIND(",",Stage!H452)),VALUE(Stage!H452),(VALUE(LEFT(Stage!H452,FIND(",",Stage!H452)-1))+VALUE(TRIM(MID(Stage!H452,FIND("|",SUBSTITUTE(Stage!H452,",","|",LEN(Stage!H452)-LEN(SUBSTITUTE(Stage!H452,",",""))))+1,100))))/2)</f>
        <v>2.5</v>
      </c>
      <c r="F427" s="119">
        <f>IF(ISERROR(FIND(",",Stage!I452)),VALUE(Stage!I452),(VALUE(LEFT(Stage!I452,FIND(",",Stage!I452)-1))+VALUE(TRIM(MID(Stage!I452,FIND("|",SUBSTITUTE(Stage!I452,",","|",LEN(Stage!I452)-LEN(SUBSTITUTE(Stage!I452,",",""))))+1,100))))/2)</f>
        <v>0.3</v>
      </c>
      <c r="G427" s="119">
        <f>IF(ISERROR(FIND(",",Stage!J452)),VALUE(Stage!J452),VALUE(LEFT(Stage!J452,FIND(",",Stage!J452)-1)))</f>
        <v>32</v>
      </c>
      <c r="H427" s="119">
        <f>IF(Stage!K452="",0,LEN(TRIM(Stage!K452))-LEN(SUBSTITUTE(TRIM(Stage!K452),",",""))+1)</f>
        <v>4</v>
      </c>
      <c r="I427" s="119">
        <f>Stage!O452+Stage!P452+Stage!N452+Stage!Q452+Stage!M452</f>
        <v>2</v>
      </c>
      <c r="J427" s="119">
        <f>IF(Stage!F452=0,0,I427/Stage!F452)</f>
        <v>1.2500000000000001E-2</v>
      </c>
      <c r="K427" s="120">
        <f t="shared" si="18"/>
        <v>41.230625976210497</v>
      </c>
      <c r="L427" s="120">
        <f t="shared" si="20"/>
        <v>43.044320133436045</v>
      </c>
      <c r="M427" s="119" t="str">
        <f t="shared" si="19"/>
        <v>보통</v>
      </c>
    </row>
    <row r="428" spans="1:13" ht="15.95" customHeight="1" x14ac:dyDescent="0.3">
      <c r="A428" s="117">
        <v>415</v>
      </c>
      <c r="B428" s="117" t="str">
        <f>Stage!C453</f>
        <v>N 415</v>
      </c>
      <c r="C428" s="117">
        <f>Stage!F453</f>
        <v>135</v>
      </c>
      <c r="D428" s="117">
        <f>IF(Stage!G453="",0,LEN(TRIM(Stage!G453))-LEN(SUBSTITUTE(TRIM(Stage!G453),",",""))+1)</f>
        <v>3</v>
      </c>
      <c r="E428" s="117">
        <f>IF(ISERROR(FIND(",",Stage!H453)),VALUE(Stage!H453),(VALUE(LEFT(Stage!H453,FIND(",",Stage!H453)-1))+VALUE(TRIM(MID(Stage!H453,FIND("|",SUBSTITUTE(Stage!H453,",","|",LEN(Stage!H453)-LEN(SUBSTITUTE(Stage!H453,",",""))))+1,100))))/2)</f>
        <v>2.5</v>
      </c>
      <c r="F428" s="117">
        <f>IF(ISERROR(FIND(",",Stage!I453)),VALUE(Stage!I453),(VALUE(LEFT(Stage!I453,FIND(",",Stage!I453)-1))+VALUE(TRIM(MID(Stage!I453,FIND("|",SUBSTITUTE(Stage!I453,",","|",LEN(Stage!I453)-LEN(SUBSTITUTE(Stage!I453,",",""))))+1,100))))/2)</f>
        <v>0.4</v>
      </c>
      <c r="G428" s="117">
        <f>IF(ISERROR(FIND(",",Stage!J453)),VALUE(Stage!J453),VALUE(LEFT(Stage!J453,FIND(",",Stage!J453)-1)))</f>
        <v>33</v>
      </c>
      <c r="H428" s="117">
        <f>IF(Stage!K453="",0,LEN(TRIM(Stage!K453))-LEN(SUBSTITUTE(TRIM(Stage!K453),",",""))+1)</f>
        <v>3</v>
      </c>
      <c r="I428" s="117">
        <f>Stage!O453+Stage!P453+Stage!N453+Stage!Q453+Stage!M453</f>
        <v>0</v>
      </c>
      <c r="J428" s="117">
        <f>IF(Stage!F453=0,0,I428/Stage!F453)</f>
        <v>0</v>
      </c>
      <c r="K428" s="118">
        <f t="shared" si="18"/>
        <v>35.356241739757294</v>
      </c>
      <c r="L428" s="118">
        <f t="shared" si="20"/>
        <v>43.044320133436045</v>
      </c>
      <c r="M428" s="117" t="str">
        <f t="shared" si="19"/>
        <v>보통</v>
      </c>
    </row>
    <row r="429" spans="1:13" ht="15.95" customHeight="1" x14ac:dyDescent="0.3">
      <c r="A429" s="119">
        <v>416</v>
      </c>
      <c r="B429" s="119" t="str">
        <f>Stage!C454</f>
        <v>N 416</v>
      </c>
      <c r="C429" s="119">
        <f>Stage!F454</f>
        <v>170</v>
      </c>
      <c r="D429" s="119">
        <f>IF(Stage!G454="",0,LEN(TRIM(Stage!G454))-LEN(SUBSTITUTE(TRIM(Stage!G454),",",""))+1)</f>
        <v>3</v>
      </c>
      <c r="E429" s="119">
        <f>IF(ISERROR(FIND(",",Stage!H454)),VALUE(Stage!H454),(VALUE(LEFT(Stage!H454,FIND(",",Stage!H454)-1))+VALUE(TRIM(MID(Stage!H454,FIND("|",SUBSTITUTE(Stage!H454,",","|",LEN(Stage!H454)-LEN(SUBSTITUTE(Stage!H454,",",""))))+1,100))))/2)</f>
        <v>3</v>
      </c>
      <c r="F429" s="119">
        <f>IF(ISERROR(FIND(",",Stage!I454)),VALUE(Stage!I454),(VALUE(LEFT(Stage!I454,FIND(",",Stage!I454)-1))+VALUE(TRIM(MID(Stage!I454,FIND("|",SUBSTITUTE(Stage!I454,",","|",LEN(Stage!I454)-LEN(SUBSTITUTE(Stage!I454,",",""))))+1,100))))/2)</f>
        <v>0.3</v>
      </c>
      <c r="G429" s="119">
        <f>IF(ISERROR(FIND(",",Stage!J454)),VALUE(Stage!J454),VALUE(LEFT(Stage!J454,FIND(",",Stage!J454)-1)))</f>
        <v>34</v>
      </c>
      <c r="H429" s="119">
        <f>IF(Stage!K454="",0,LEN(TRIM(Stage!K454))-LEN(SUBSTITUTE(TRIM(Stage!K454),",",""))+1)</f>
        <v>4</v>
      </c>
      <c r="I429" s="119">
        <f>Stage!O454+Stage!P454+Stage!N454+Stage!Q454+Stage!M454</f>
        <v>5</v>
      </c>
      <c r="J429" s="119">
        <f>IF(Stage!F454=0,0,I429/Stage!F454)</f>
        <v>2.9411764705882353E-2</v>
      </c>
      <c r="K429" s="120">
        <f t="shared" si="18"/>
        <v>44.68166408699728</v>
      </c>
      <c r="L429" s="120">
        <f t="shared" si="20"/>
        <v>44.042612604335247</v>
      </c>
      <c r="M429" s="119" t="str">
        <f t="shared" si="19"/>
        <v>보통</v>
      </c>
    </row>
    <row r="430" spans="1:13" ht="15.95" customHeight="1" x14ac:dyDescent="0.3">
      <c r="A430" s="117">
        <v>417</v>
      </c>
      <c r="B430" s="117" t="str">
        <f>Stage!C455</f>
        <v>N 417</v>
      </c>
      <c r="C430" s="117">
        <f>Stage!F455</f>
        <v>200</v>
      </c>
      <c r="D430" s="117">
        <f>IF(Stage!G455="",0,LEN(TRIM(Stage!G455))-LEN(SUBSTITUTE(TRIM(Stage!G455),",",""))+1)</f>
        <v>3</v>
      </c>
      <c r="E430" s="117">
        <f>IF(ISERROR(FIND(",",Stage!H455)),VALUE(Stage!H455),(VALUE(LEFT(Stage!H455,FIND(",",Stage!H455)-1))+VALUE(TRIM(MID(Stage!H455,FIND("|",SUBSTITUTE(Stage!H455,",","|",LEN(Stage!H455)-LEN(SUBSTITUTE(Stage!H455,",",""))))+1,100))))/2)</f>
        <v>3</v>
      </c>
      <c r="F430" s="117">
        <f>IF(ISERROR(FIND(",",Stage!I455)),VALUE(Stage!I455),(VALUE(LEFT(Stage!I455,FIND(",",Stage!I455)-1))+VALUE(TRIM(MID(Stage!I455,FIND("|",SUBSTITUTE(Stage!I455,",","|",LEN(Stage!I455)-LEN(SUBSTITUTE(Stage!I455,",",""))))+1,100))))/2)</f>
        <v>0.2</v>
      </c>
      <c r="G430" s="117">
        <f>IF(ISERROR(FIND(",",Stage!J455)),VALUE(Stage!J455),VALUE(LEFT(Stage!J455,FIND(",",Stage!J455)-1)))</f>
        <v>40</v>
      </c>
      <c r="H430" s="117">
        <f>IF(Stage!K455="",0,LEN(TRIM(Stage!K455))-LEN(SUBSTITUTE(TRIM(Stage!K455),",",""))+1)</f>
        <v>4</v>
      </c>
      <c r="I430" s="117">
        <f>Stage!O455+Stage!P455+Stage!N455+Stage!Q455+Stage!M455</f>
        <v>11</v>
      </c>
      <c r="J430" s="117">
        <f>IF(Stage!F455=0,0,I430/Stage!F455)</f>
        <v>5.5E-2</v>
      </c>
      <c r="K430" s="118">
        <f t="shared" si="18"/>
        <v>49.472265609355603</v>
      </c>
      <c r="L430" s="118">
        <f t="shared" si="20"/>
        <v>45.47061385219839</v>
      </c>
      <c r="M430" s="117" t="str">
        <f t="shared" si="19"/>
        <v>어려움</v>
      </c>
    </row>
    <row r="431" spans="1:13" ht="15.95" customHeight="1" x14ac:dyDescent="0.3">
      <c r="A431" s="119">
        <v>418</v>
      </c>
      <c r="B431" s="119" t="str">
        <f>Stage!C456</f>
        <v>N 418</v>
      </c>
      <c r="C431" s="119">
        <f>Stage!F456</f>
        <v>200</v>
      </c>
      <c r="D431" s="119">
        <f>IF(Stage!G456="",0,LEN(TRIM(Stage!G456))-LEN(SUBSTITUTE(TRIM(Stage!G456),",",""))+1)</f>
        <v>3</v>
      </c>
      <c r="E431" s="119">
        <f>IF(ISERROR(FIND(",",Stage!H456)),VALUE(Stage!H456),(VALUE(LEFT(Stage!H456,FIND(",",Stage!H456)-1))+VALUE(TRIM(MID(Stage!H456,FIND("|",SUBSTITUTE(Stage!H456,",","|",LEN(Stage!H456)-LEN(SUBSTITUTE(Stage!H456,",",""))))+1,100))))/2)</f>
        <v>3</v>
      </c>
      <c r="F431" s="119">
        <f>IF(ISERROR(FIND(",",Stage!I456)),VALUE(Stage!I456),(VALUE(LEFT(Stage!I456,FIND(",",Stage!I456)-1))+VALUE(TRIM(MID(Stage!I456,FIND("|",SUBSTITUTE(Stage!I456,",","|",LEN(Stage!I456)-LEN(SUBSTITUTE(Stage!I456,",",""))))+1,100))))/2)</f>
        <v>0.2</v>
      </c>
      <c r="G431" s="119">
        <f>IF(ISERROR(FIND(",",Stage!J456)),VALUE(Stage!J456),VALUE(LEFT(Stage!J456,FIND(",",Stage!J456)-1)))</f>
        <v>40</v>
      </c>
      <c r="H431" s="119">
        <f>IF(Stage!K456="",0,LEN(TRIM(Stage!K456))-LEN(SUBSTITUTE(TRIM(Stage!K456),",",""))+1)</f>
        <v>4</v>
      </c>
      <c r="I431" s="119">
        <f>Stage!O456+Stage!P456+Stage!N456+Stage!Q456+Stage!M456</f>
        <v>11</v>
      </c>
      <c r="J431" s="119">
        <f>IF(Stage!F456=0,0,I431/Stage!F456)</f>
        <v>5.5E-2</v>
      </c>
      <c r="K431" s="120">
        <f t="shared" si="18"/>
        <v>49.472265609355603</v>
      </c>
      <c r="L431" s="120">
        <f t="shared" si="20"/>
        <v>47.924300748273865</v>
      </c>
      <c r="M431" s="119" t="str">
        <f t="shared" si="19"/>
        <v>어려움</v>
      </c>
    </row>
    <row r="432" spans="1:13" ht="15.95" customHeight="1" x14ac:dyDescent="0.3">
      <c r="A432" s="117">
        <v>419</v>
      </c>
      <c r="B432" s="117" t="str">
        <f>Stage!C457</f>
        <v>N 419</v>
      </c>
      <c r="C432" s="117">
        <f>Stage!F457</f>
        <v>190</v>
      </c>
      <c r="D432" s="117">
        <f>IF(Stage!G457="",0,LEN(TRIM(Stage!G457))-LEN(SUBSTITUTE(TRIM(Stage!G457),",",""))+1)</f>
        <v>3</v>
      </c>
      <c r="E432" s="117">
        <f>IF(ISERROR(FIND(",",Stage!H457)),VALUE(Stage!H457),(VALUE(LEFT(Stage!H457,FIND(",",Stage!H457)-1))+VALUE(TRIM(MID(Stage!H457,FIND("|",SUBSTITUTE(Stage!H457,",","|",LEN(Stage!H457)-LEN(SUBSTITUTE(Stage!H457,",",""))))+1,100))))/2)</f>
        <v>3</v>
      </c>
      <c r="F432" s="117">
        <f>IF(ISERROR(FIND(",",Stage!I457)),VALUE(Stage!I457),(VALUE(LEFT(Stage!I457,FIND(",",Stage!I457)-1))+VALUE(TRIM(MID(Stage!I457,FIND("|",SUBSTITUTE(Stage!I457,",","|",LEN(Stage!I457)-LEN(SUBSTITUTE(Stage!I457,",",""))))+1,100))))/2)</f>
        <v>0.2</v>
      </c>
      <c r="G432" s="117">
        <f>IF(ISERROR(FIND(",",Stage!J457)),VALUE(Stage!J457),VALUE(LEFT(Stage!J457,FIND(",",Stage!J457)-1)))</f>
        <v>38</v>
      </c>
      <c r="H432" s="117">
        <f>IF(Stage!K457="",0,LEN(TRIM(Stage!K457))-LEN(SUBSTITUTE(TRIM(Stage!K457),",",""))+1)</f>
        <v>4</v>
      </c>
      <c r="I432" s="117">
        <f>Stage!O457+Stage!P457+Stage!N457+Stage!Q457+Stage!M457</f>
        <v>9</v>
      </c>
      <c r="J432" s="117">
        <f>IF(Stage!F457=0,0,I432/Stage!F457)</f>
        <v>4.736842105263158E-2</v>
      </c>
      <c r="K432" s="118">
        <f t="shared" si="18"/>
        <v>48.3706322155262</v>
      </c>
      <c r="L432" s="118">
        <f t="shared" si="20"/>
        <v>48.882421052745521</v>
      </c>
      <c r="M432" s="117" t="str">
        <f t="shared" si="19"/>
        <v>어려움</v>
      </c>
    </row>
    <row r="433" spans="1:13" ht="15.95" customHeight="1" x14ac:dyDescent="0.3">
      <c r="A433" s="119">
        <v>420</v>
      </c>
      <c r="B433" s="119" t="str">
        <f>Stage!C458</f>
        <v>N 420</v>
      </c>
      <c r="C433" s="119">
        <f>Stage!F458</f>
        <v>185</v>
      </c>
      <c r="D433" s="119">
        <f>IF(Stage!G458="",0,LEN(TRIM(Stage!G458))-LEN(SUBSTITUTE(TRIM(Stage!G458),",",""))+1)</f>
        <v>3</v>
      </c>
      <c r="E433" s="119">
        <f>IF(ISERROR(FIND(",",Stage!H458)),VALUE(Stage!H458),(VALUE(LEFT(Stage!H458,FIND(",",Stage!H458)-1))+VALUE(TRIM(MID(Stage!H458,FIND("|",SUBSTITUTE(Stage!H458,",","|",LEN(Stage!H458)-LEN(SUBSTITUTE(Stage!H458,",",""))))+1,100))))/2)</f>
        <v>3</v>
      </c>
      <c r="F433" s="119">
        <f>IF(ISERROR(FIND(",",Stage!I458)),VALUE(Stage!I458),(VALUE(LEFT(Stage!I458,FIND(",",Stage!I458)-1))+VALUE(TRIM(MID(Stage!I458,FIND("|",SUBSTITUTE(Stage!I458,",","|",LEN(Stage!I458)-LEN(SUBSTITUTE(Stage!I458,",",""))))+1,100))))/2)</f>
        <v>0.2</v>
      </c>
      <c r="G433" s="119">
        <f>IF(ISERROR(FIND(",",Stage!J458)),VALUE(Stage!J458),VALUE(LEFT(Stage!J458,FIND(",",Stage!J458)-1)))</f>
        <v>37</v>
      </c>
      <c r="H433" s="119">
        <f>IF(Stage!K458="",0,LEN(TRIM(Stage!K458))-LEN(SUBSTITUTE(TRIM(Stage!K458),",",""))+1)</f>
        <v>4</v>
      </c>
      <c r="I433" s="119">
        <f>Stage!O458+Stage!P458+Stage!N458+Stage!Q458+Stage!M458</f>
        <v>7</v>
      </c>
      <c r="J433" s="119">
        <f>IF(Stage!F458=0,0,I433/Stage!F458)</f>
        <v>3.783783783783784E-2</v>
      </c>
      <c r="K433" s="120">
        <f t="shared" si="18"/>
        <v>47.624676220134596</v>
      </c>
      <c r="L433" s="120">
        <f t="shared" si="20"/>
        <v>48.882421052745521</v>
      </c>
      <c r="M433" s="119" t="str">
        <f t="shared" si="19"/>
        <v>어려움</v>
      </c>
    </row>
    <row r="434" spans="1:13" ht="15.95" customHeight="1" x14ac:dyDescent="0.3">
      <c r="A434" s="117">
        <v>421</v>
      </c>
      <c r="B434" s="117" t="str">
        <f>Stage!C459</f>
        <v>N 421</v>
      </c>
      <c r="C434" s="117">
        <f>Stage!F459</f>
        <v>200</v>
      </c>
      <c r="D434" s="117">
        <f>IF(Stage!G459="",0,LEN(TRIM(Stage!G459))-LEN(SUBSTITUTE(TRIM(Stage!G459),",",""))+1)</f>
        <v>3</v>
      </c>
      <c r="E434" s="117">
        <f>IF(ISERROR(FIND(",",Stage!H459)),VALUE(Stage!H459),(VALUE(LEFT(Stage!H459,FIND(",",Stage!H459)-1))+VALUE(TRIM(MID(Stage!H459,FIND("|",SUBSTITUTE(Stage!H459,",","|",LEN(Stage!H459)-LEN(SUBSTITUTE(Stage!H459,",",""))))+1,100))))/2)</f>
        <v>3</v>
      </c>
      <c r="F434" s="117">
        <f>IF(ISERROR(FIND(",",Stage!I459)),VALUE(Stage!I459),(VALUE(LEFT(Stage!I459,FIND(",",Stage!I459)-1))+VALUE(TRIM(MID(Stage!I459,FIND("|",SUBSTITUTE(Stage!I459,",","|",LEN(Stage!I459)-LEN(SUBSTITUTE(Stage!I459,",",""))))+1,100))))/2)</f>
        <v>0.2</v>
      </c>
      <c r="G434" s="117">
        <f>IF(ISERROR(FIND(",",Stage!J459)),VALUE(Stage!J459),VALUE(LEFT(Stage!J459,FIND(",",Stage!J459)-1)))</f>
        <v>40</v>
      </c>
      <c r="H434" s="117">
        <f>IF(Stage!K459="",0,LEN(TRIM(Stage!K459))-LEN(SUBSTITUTE(TRIM(Stage!K459),",",""))+1)</f>
        <v>4</v>
      </c>
      <c r="I434" s="117">
        <f>Stage!O459+Stage!P459+Stage!N459+Stage!Q459+Stage!M459</f>
        <v>11</v>
      </c>
      <c r="J434" s="117">
        <f>IF(Stage!F459=0,0,I434/Stage!F459)</f>
        <v>5.5E-2</v>
      </c>
      <c r="K434" s="118">
        <f t="shared" si="18"/>
        <v>49.472265609355603</v>
      </c>
      <c r="L434" s="118">
        <f t="shared" si="20"/>
        <v>47.884128581846312</v>
      </c>
      <c r="M434" s="117" t="str">
        <f t="shared" si="19"/>
        <v>어려움</v>
      </c>
    </row>
    <row r="435" spans="1:13" ht="15.95" customHeight="1" x14ac:dyDescent="0.3">
      <c r="A435" s="119">
        <v>422</v>
      </c>
      <c r="B435" s="119" t="str">
        <f>Stage!C460</f>
        <v>N 422</v>
      </c>
      <c r="C435" s="119">
        <f>Stage!F460</f>
        <v>200</v>
      </c>
      <c r="D435" s="119">
        <f>IF(Stage!G460="",0,LEN(TRIM(Stage!G460))-LEN(SUBSTITUTE(TRIM(Stage!G460),",",""))+1)</f>
        <v>3</v>
      </c>
      <c r="E435" s="119">
        <f>IF(ISERROR(FIND(",",Stage!H460)),VALUE(Stage!H460),(VALUE(LEFT(Stage!H460,FIND(",",Stage!H460)-1))+VALUE(TRIM(MID(Stage!H460,FIND("|",SUBSTITUTE(Stage!H460,",","|",LEN(Stage!H460)-LEN(SUBSTITUTE(Stage!H460,",",""))))+1,100))))/2)</f>
        <v>3</v>
      </c>
      <c r="F435" s="119">
        <f>IF(ISERROR(FIND(",",Stage!I460)),VALUE(Stage!I460),(VALUE(LEFT(Stage!I460,FIND(",",Stage!I460)-1))+VALUE(TRIM(MID(Stage!I460,FIND("|",SUBSTITUTE(Stage!I460,",","|",LEN(Stage!I460)-LEN(SUBSTITUTE(Stage!I460,",",""))))+1,100))))/2)</f>
        <v>0.2</v>
      </c>
      <c r="G435" s="119">
        <f>IF(ISERROR(FIND(",",Stage!J460)),VALUE(Stage!J460),VALUE(LEFT(Stage!J460,FIND(",",Stage!J460)-1)))</f>
        <v>40</v>
      </c>
      <c r="H435" s="119">
        <f>IF(Stage!K460="",0,LEN(TRIM(Stage!K460))-LEN(SUBSTITUTE(TRIM(Stage!K460),",",""))+1)</f>
        <v>4</v>
      </c>
      <c r="I435" s="119">
        <f>Stage!O460+Stage!P460+Stage!N460+Stage!Q460+Stage!M460</f>
        <v>11</v>
      </c>
      <c r="J435" s="119">
        <f>IF(Stage!F460=0,0,I435/Stage!F460)</f>
        <v>5.5E-2</v>
      </c>
      <c r="K435" s="120">
        <f t="shared" si="18"/>
        <v>49.472265609355603</v>
      </c>
      <c r="L435" s="120">
        <f t="shared" si="20"/>
        <v>48.104455260612191</v>
      </c>
      <c r="M435" s="119" t="str">
        <f t="shared" si="19"/>
        <v>어려움</v>
      </c>
    </row>
    <row r="436" spans="1:13" ht="15.95" customHeight="1" x14ac:dyDescent="0.3">
      <c r="A436" s="117">
        <v>423</v>
      </c>
      <c r="B436" s="117" t="str">
        <f>Stage!C461</f>
        <v>N 423</v>
      </c>
      <c r="C436" s="117">
        <f>Stage!F461</f>
        <v>170</v>
      </c>
      <c r="D436" s="117">
        <f>IF(Stage!G461="",0,LEN(TRIM(Stage!G461))-LEN(SUBSTITUTE(TRIM(Stage!G461),",",""))+1)</f>
        <v>3</v>
      </c>
      <c r="E436" s="117">
        <f>IF(ISERROR(FIND(",",Stage!H461)),VALUE(Stage!H461),(VALUE(LEFT(Stage!H461,FIND(",",Stage!H461)-1))+VALUE(TRIM(MID(Stage!H461,FIND("|",SUBSTITUTE(Stage!H461,",","|",LEN(Stage!H461)-LEN(SUBSTITUTE(Stage!H461,",",""))))+1,100))))/2)</f>
        <v>3</v>
      </c>
      <c r="F436" s="117">
        <f>IF(ISERROR(FIND(",",Stage!I461)),VALUE(Stage!I461),(VALUE(LEFT(Stage!I461,FIND(",",Stage!I461)-1))+VALUE(TRIM(MID(Stage!I461,FIND("|",SUBSTITUTE(Stage!I461,",","|",LEN(Stage!I461)-LEN(SUBSTITUTE(Stage!I461,",",""))))+1,100))))/2)</f>
        <v>0.3</v>
      </c>
      <c r="G436" s="117">
        <f>IF(ISERROR(FIND(",",Stage!J461)),VALUE(Stage!J461),VALUE(LEFT(Stage!J461,FIND(",",Stage!J461)-1)))</f>
        <v>34</v>
      </c>
      <c r="H436" s="117">
        <f>IF(Stage!K461="",0,LEN(TRIM(Stage!K461))-LEN(SUBSTITUTE(TRIM(Stage!K461),",",""))+1)</f>
        <v>4</v>
      </c>
      <c r="I436" s="117">
        <f>Stage!O461+Stage!P461+Stage!N461+Stage!Q461+Stage!M461</f>
        <v>4</v>
      </c>
      <c r="J436" s="117">
        <f>IF(Stage!F461=0,0,I436/Stage!F461)</f>
        <v>2.3529411764705882E-2</v>
      </c>
      <c r="K436" s="118">
        <f t="shared" si="18"/>
        <v>44.480803254859552</v>
      </c>
      <c r="L436" s="118">
        <f t="shared" si="20"/>
        <v>48.253646459690515</v>
      </c>
      <c r="M436" s="117" t="str">
        <f t="shared" si="19"/>
        <v>보통</v>
      </c>
    </row>
    <row r="437" spans="1:13" ht="15.95" customHeight="1" x14ac:dyDescent="0.3">
      <c r="A437" s="119">
        <v>424</v>
      </c>
      <c r="B437" s="119" t="str">
        <f>Stage!C462</f>
        <v>N 424</v>
      </c>
      <c r="C437" s="119">
        <f>Stage!F462</f>
        <v>200</v>
      </c>
      <c r="D437" s="119">
        <f>IF(Stage!G462="",0,LEN(TRIM(Stage!G462))-LEN(SUBSTITUTE(TRIM(Stage!G462),",",""))+1)</f>
        <v>3</v>
      </c>
      <c r="E437" s="119">
        <f>IF(ISERROR(FIND(",",Stage!H462)),VALUE(Stage!H462),(VALUE(LEFT(Stage!H462,FIND(",",Stage!H462)-1))+VALUE(TRIM(MID(Stage!H462,FIND("|",SUBSTITUTE(Stage!H462,",","|",LEN(Stage!H462)-LEN(SUBSTITUTE(Stage!H462,",",""))))+1,100))))/2)</f>
        <v>3</v>
      </c>
      <c r="F437" s="119">
        <f>IF(ISERROR(FIND(",",Stage!I462)),VALUE(Stage!I462),(VALUE(LEFT(Stage!I462,FIND(",",Stage!I462)-1))+VALUE(TRIM(MID(Stage!I462,FIND("|",SUBSTITUTE(Stage!I462,",","|",LEN(Stage!I462)-LEN(SUBSTITUTE(Stage!I462,",",""))))+1,100))))/2)</f>
        <v>0.2</v>
      </c>
      <c r="G437" s="119">
        <f>IF(ISERROR(FIND(",",Stage!J462)),VALUE(Stage!J462),VALUE(LEFT(Stage!J462,FIND(",",Stage!J462)-1)))</f>
        <v>40</v>
      </c>
      <c r="H437" s="119">
        <f>IF(Stage!K462="",0,LEN(TRIM(Stage!K462))-LEN(SUBSTITUTE(TRIM(Stage!K462),",",""))+1)</f>
        <v>4</v>
      </c>
      <c r="I437" s="119">
        <f>Stage!O462+Stage!P462+Stage!N462+Stage!Q462+Stage!M462</f>
        <v>11</v>
      </c>
      <c r="J437" s="119">
        <f>IF(Stage!F462=0,0,I437/Stage!F462)</f>
        <v>5.5E-2</v>
      </c>
      <c r="K437" s="120">
        <f t="shared" si="18"/>
        <v>49.472265609355603</v>
      </c>
      <c r="L437" s="120">
        <f t="shared" si="20"/>
        <v>47.997376263594717</v>
      </c>
      <c r="M437" s="119" t="str">
        <f t="shared" si="19"/>
        <v>어려움</v>
      </c>
    </row>
    <row r="438" spans="1:13" ht="15.95" customHeight="1" x14ac:dyDescent="0.3">
      <c r="A438" s="117">
        <v>425</v>
      </c>
      <c r="B438" s="117" t="str">
        <f>Stage!C463</f>
        <v>N 425</v>
      </c>
      <c r="C438" s="117">
        <f>Stage!F463</f>
        <v>190</v>
      </c>
      <c r="D438" s="117">
        <f>IF(Stage!G463="",0,LEN(TRIM(Stage!G463))-LEN(SUBSTITUTE(TRIM(Stage!G463),",",""))+1)</f>
        <v>3</v>
      </c>
      <c r="E438" s="117">
        <f>IF(ISERROR(FIND(",",Stage!H463)),VALUE(Stage!H463),(VALUE(LEFT(Stage!H463,FIND(",",Stage!H463)-1))+VALUE(TRIM(MID(Stage!H463,FIND("|",SUBSTITUTE(Stage!H463,",","|",LEN(Stage!H463)-LEN(SUBSTITUTE(Stage!H463,",",""))))+1,100))))/2)</f>
        <v>3</v>
      </c>
      <c r="F438" s="117">
        <f>IF(ISERROR(FIND(",",Stage!I463)),VALUE(Stage!I463),(VALUE(LEFT(Stage!I463,FIND(",",Stage!I463)-1))+VALUE(TRIM(MID(Stage!I463,FIND("|",SUBSTITUTE(Stage!I463,",","|",LEN(Stage!I463)-LEN(SUBSTITUTE(Stage!I463,",",""))))+1,100))))/2)</f>
        <v>0.2</v>
      </c>
      <c r="G438" s="117">
        <f>IF(ISERROR(FIND(",",Stage!J463)),VALUE(Stage!J463),VALUE(LEFT(Stage!J463,FIND(",",Stage!J463)-1)))</f>
        <v>38</v>
      </c>
      <c r="H438" s="117">
        <f>IF(Stage!K463="",0,LEN(TRIM(Stage!K463))-LEN(SUBSTITUTE(TRIM(Stage!K463),",",""))+1)</f>
        <v>4</v>
      </c>
      <c r="I438" s="117">
        <f>Stage!O463+Stage!P463+Stage!N463+Stage!Q463+Stage!M463</f>
        <v>9</v>
      </c>
      <c r="J438" s="117">
        <f>IF(Stage!F463=0,0,I438/Stage!F463)</f>
        <v>4.736842105263158E-2</v>
      </c>
      <c r="K438" s="118">
        <f t="shared" si="18"/>
        <v>48.3706322155262</v>
      </c>
      <c r="L438" s="118">
        <f t="shared" si="20"/>
        <v>47.777049584828838</v>
      </c>
      <c r="M438" s="117" t="str">
        <f t="shared" si="19"/>
        <v>어려움</v>
      </c>
    </row>
    <row r="439" spans="1:13" ht="15.95" customHeight="1" x14ac:dyDescent="0.3">
      <c r="A439" s="119">
        <v>426</v>
      </c>
      <c r="B439" s="119" t="str">
        <f>Stage!C464</f>
        <v>N 426</v>
      </c>
      <c r="C439" s="119">
        <f>Stage!F464</f>
        <v>190</v>
      </c>
      <c r="D439" s="119">
        <f>IF(Stage!G464="",0,LEN(TRIM(Stage!G464))-LEN(SUBSTITUTE(TRIM(Stage!G464),",",""))+1)</f>
        <v>3</v>
      </c>
      <c r="E439" s="119">
        <f>IF(ISERROR(FIND(",",Stage!H464)),VALUE(Stage!H464),(VALUE(LEFT(Stage!H464,FIND(",",Stage!H464)-1))+VALUE(TRIM(MID(Stage!H464,FIND("|",SUBSTITUTE(Stage!H464,",","|",LEN(Stage!H464)-LEN(SUBSTITUTE(Stage!H464,",",""))))+1,100))))/2)</f>
        <v>3</v>
      </c>
      <c r="F439" s="119">
        <f>IF(ISERROR(FIND(",",Stage!I464)),VALUE(Stage!I464),(VALUE(LEFT(Stage!I464,FIND(",",Stage!I464)-1))+VALUE(TRIM(MID(Stage!I464,FIND("|",SUBSTITUTE(Stage!I464,",","|",LEN(Stage!I464)-LEN(SUBSTITUTE(Stage!I464,",",""))))+1,100))))/2)</f>
        <v>0.2</v>
      </c>
      <c r="G439" s="119">
        <f>IF(ISERROR(FIND(",",Stage!J464)),VALUE(Stage!J464),VALUE(LEFT(Stage!J464,FIND(",",Stage!J464)-1)))</f>
        <v>38</v>
      </c>
      <c r="H439" s="119">
        <f>IF(Stage!K464="",0,LEN(TRIM(Stage!K464))-LEN(SUBSTITUTE(TRIM(Stage!K464),",",""))+1)</f>
        <v>4</v>
      </c>
      <c r="I439" s="119">
        <f>Stage!O464+Stage!P464+Stage!N464+Stage!Q464+Stage!M464</f>
        <v>8</v>
      </c>
      <c r="J439" s="119">
        <f>IF(Stage!F464=0,0,I439/Stage!F464)</f>
        <v>4.2105263157894736E-2</v>
      </c>
      <c r="K439" s="120">
        <f t="shared" si="18"/>
        <v>48.190914628876648</v>
      </c>
      <c r="L439" s="120">
        <f t="shared" si="20"/>
        <v>48.775342055728046</v>
      </c>
      <c r="M439" s="119" t="str">
        <f t="shared" si="19"/>
        <v>어려움</v>
      </c>
    </row>
    <row r="440" spans="1:13" ht="15.95" customHeight="1" x14ac:dyDescent="0.3">
      <c r="A440" s="117">
        <v>427</v>
      </c>
      <c r="B440" s="117" t="str">
        <f>Stage!C465</f>
        <v>N 427</v>
      </c>
      <c r="C440" s="117">
        <f>Stage!F465</f>
        <v>190</v>
      </c>
      <c r="D440" s="117">
        <f>IF(Stage!G465="",0,LEN(TRIM(Stage!G465))-LEN(SUBSTITUTE(TRIM(Stage!G465),",",""))+1)</f>
        <v>3</v>
      </c>
      <c r="E440" s="117">
        <f>IF(ISERROR(FIND(",",Stage!H465)),VALUE(Stage!H465),(VALUE(LEFT(Stage!H465,FIND(",",Stage!H465)-1))+VALUE(TRIM(MID(Stage!H465,FIND("|",SUBSTITUTE(Stage!H465,",","|",LEN(Stage!H465)-LEN(SUBSTITUTE(Stage!H465,",",""))))+1,100))))/2)</f>
        <v>3</v>
      </c>
      <c r="F440" s="117">
        <f>IF(ISERROR(FIND(",",Stage!I465)),VALUE(Stage!I465),(VALUE(LEFT(Stage!I465,FIND(",",Stage!I465)-1))+VALUE(TRIM(MID(Stage!I465,FIND("|",SUBSTITUTE(Stage!I465,",","|",LEN(Stage!I465)-LEN(SUBSTITUTE(Stage!I465,",",""))))+1,100))))/2)</f>
        <v>0.2</v>
      </c>
      <c r="G440" s="117">
        <f>IF(ISERROR(FIND(",",Stage!J465)),VALUE(Stage!J465),VALUE(LEFT(Stage!J465,FIND(",",Stage!J465)-1)))</f>
        <v>38</v>
      </c>
      <c r="H440" s="117">
        <f>IF(Stage!K465="",0,LEN(TRIM(Stage!K465))-LEN(SUBSTITUTE(TRIM(Stage!K465),",",""))+1)</f>
        <v>4</v>
      </c>
      <c r="I440" s="117">
        <f>Stage!O465+Stage!P465+Stage!N465+Stage!Q465+Stage!M465</f>
        <v>9</v>
      </c>
      <c r="J440" s="117">
        <f>IF(Stage!F465=0,0,I440/Stage!F465)</f>
        <v>4.736842105263158E-2</v>
      </c>
      <c r="K440" s="118">
        <f t="shared" si="18"/>
        <v>48.3706322155262</v>
      </c>
      <c r="L440" s="118">
        <f t="shared" si="20"/>
        <v>48.519071859632263</v>
      </c>
      <c r="M440" s="117" t="str">
        <f t="shared" si="19"/>
        <v>어려움</v>
      </c>
    </row>
    <row r="441" spans="1:13" ht="15.95" customHeight="1" x14ac:dyDescent="0.3">
      <c r="A441" s="119">
        <v>428</v>
      </c>
      <c r="B441" s="119" t="str">
        <f>Stage!C466</f>
        <v>N 428</v>
      </c>
      <c r="C441" s="119">
        <f>Stage!F466</f>
        <v>200</v>
      </c>
      <c r="D441" s="119">
        <f>IF(Stage!G466="",0,LEN(TRIM(Stage!G466))-LEN(SUBSTITUTE(TRIM(Stage!G466),",",""))+1)</f>
        <v>3</v>
      </c>
      <c r="E441" s="119">
        <f>IF(ISERROR(FIND(",",Stage!H466)),VALUE(Stage!H466),(VALUE(LEFT(Stage!H466,FIND(",",Stage!H466)-1))+VALUE(TRIM(MID(Stage!H466,FIND("|",SUBSTITUTE(Stage!H466,",","|",LEN(Stage!H466)-LEN(SUBSTITUTE(Stage!H466,",",""))))+1,100))))/2)</f>
        <v>3</v>
      </c>
      <c r="F441" s="119">
        <f>IF(ISERROR(FIND(",",Stage!I466)),VALUE(Stage!I466),(VALUE(LEFT(Stage!I466,FIND(",",Stage!I466)-1))+VALUE(TRIM(MID(Stage!I466,FIND("|",SUBSTITUTE(Stage!I466,",","|",LEN(Stage!I466)-LEN(SUBSTITUTE(Stage!I466,",",""))))+1,100))))/2)</f>
        <v>0.2</v>
      </c>
      <c r="G441" s="119">
        <f>IF(ISERROR(FIND(",",Stage!J466)),VALUE(Stage!J466),VALUE(LEFT(Stage!J466,FIND(",",Stage!J466)-1)))</f>
        <v>40</v>
      </c>
      <c r="H441" s="119">
        <f>IF(Stage!K466="",0,LEN(TRIM(Stage!K466))-LEN(SUBSTITUTE(TRIM(Stage!K466),",",""))+1)</f>
        <v>4</v>
      </c>
      <c r="I441" s="119">
        <f>Stage!O466+Stage!P466+Stage!N466+Stage!Q466+Stage!M466</f>
        <v>11</v>
      </c>
      <c r="J441" s="119">
        <f>IF(Stage!F466=0,0,I441/Stage!F466)</f>
        <v>5.5E-2</v>
      </c>
      <c r="K441" s="120">
        <f t="shared" si="18"/>
        <v>49.472265609355603</v>
      </c>
      <c r="L441" s="120">
        <f t="shared" si="20"/>
        <v>48.739398538398142</v>
      </c>
      <c r="M441" s="119" t="str">
        <f t="shared" si="19"/>
        <v>어려움</v>
      </c>
    </row>
    <row r="442" spans="1:13" ht="15.95" customHeight="1" x14ac:dyDescent="0.3">
      <c r="A442" s="117">
        <v>429</v>
      </c>
      <c r="B442" s="117" t="str">
        <f>Stage!C467</f>
        <v>N 429</v>
      </c>
      <c r="C442" s="117">
        <f>Stage!F467</f>
        <v>190</v>
      </c>
      <c r="D442" s="117">
        <f>IF(Stage!G467="",0,LEN(TRIM(Stage!G467))-LEN(SUBSTITUTE(TRIM(Stage!G467),",",""))+1)</f>
        <v>3</v>
      </c>
      <c r="E442" s="117">
        <f>IF(ISERROR(FIND(",",Stage!H467)),VALUE(Stage!H467),(VALUE(LEFT(Stage!H467,FIND(",",Stage!H467)-1))+VALUE(TRIM(MID(Stage!H467,FIND("|",SUBSTITUTE(Stage!H467,",","|",LEN(Stage!H467)-LEN(SUBSTITUTE(Stage!H467,",",""))))+1,100))))/2)</f>
        <v>3</v>
      </c>
      <c r="F442" s="117">
        <f>IF(ISERROR(FIND(",",Stage!I467)),VALUE(Stage!I467),(VALUE(LEFT(Stage!I467,FIND(",",Stage!I467)-1))+VALUE(TRIM(MID(Stage!I467,FIND("|",SUBSTITUTE(Stage!I467,",","|",LEN(Stage!I467)-LEN(SUBSTITUTE(Stage!I467,",",""))))+1,100))))/2)</f>
        <v>0.2</v>
      </c>
      <c r="G442" s="117">
        <f>IF(ISERROR(FIND(",",Stage!J467)),VALUE(Stage!J467),VALUE(LEFT(Stage!J467,FIND(",",Stage!J467)-1)))</f>
        <v>38</v>
      </c>
      <c r="H442" s="117">
        <f>IF(Stage!K467="",0,LEN(TRIM(Stage!K467))-LEN(SUBSTITUTE(TRIM(Stage!K467),",",""))+1)</f>
        <v>4</v>
      </c>
      <c r="I442" s="117">
        <f>Stage!O467+Stage!P467+Stage!N467+Stage!Q467+Stage!M467</f>
        <v>8</v>
      </c>
      <c r="J442" s="117">
        <f>IF(Stage!F467=0,0,I442/Stage!F467)</f>
        <v>4.2105263157894736E-2</v>
      </c>
      <c r="K442" s="118">
        <f t="shared" si="18"/>
        <v>48.190914628876648</v>
      </c>
      <c r="L442" s="118">
        <f t="shared" si="20"/>
        <v>47.997376263594717</v>
      </c>
      <c r="M442" s="117" t="str">
        <f t="shared" si="19"/>
        <v>어려움</v>
      </c>
    </row>
    <row r="443" spans="1:13" ht="15.95" customHeight="1" x14ac:dyDescent="0.3">
      <c r="A443" s="119">
        <v>430</v>
      </c>
      <c r="B443" s="119" t="str">
        <f>Stage!C468</f>
        <v>N 430</v>
      </c>
      <c r="C443" s="119">
        <f>Stage!F468</f>
        <v>200</v>
      </c>
      <c r="D443" s="119">
        <f>IF(Stage!G468="",0,LEN(TRIM(Stage!G468))-LEN(SUBSTITUTE(TRIM(Stage!G468),",",""))+1)</f>
        <v>3</v>
      </c>
      <c r="E443" s="119">
        <f>IF(ISERROR(FIND(",",Stage!H468)),VALUE(Stage!H468),(VALUE(LEFT(Stage!H468,FIND(",",Stage!H468)-1))+VALUE(TRIM(MID(Stage!H468,FIND("|",SUBSTITUTE(Stage!H468,",","|",LEN(Stage!H468)-LEN(SUBSTITUTE(Stage!H468,",",""))))+1,100))))/2)</f>
        <v>3</v>
      </c>
      <c r="F443" s="119">
        <f>IF(ISERROR(FIND(",",Stage!I468)),VALUE(Stage!I468),(VALUE(LEFT(Stage!I468,FIND(",",Stage!I468)-1))+VALUE(TRIM(MID(Stage!I468,FIND("|",SUBSTITUTE(Stage!I468,",","|",LEN(Stage!I468)-LEN(SUBSTITUTE(Stage!I468,",",""))))+1,100))))/2)</f>
        <v>0.2</v>
      </c>
      <c r="G443" s="119">
        <f>IF(ISERROR(FIND(",",Stage!J468)),VALUE(Stage!J468),VALUE(LEFT(Stage!J468,FIND(",",Stage!J468)-1)))</f>
        <v>40</v>
      </c>
      <c r="H443" s="119">
        <f>IF(Stage!K468="",0,LEN(TRIM(Stage!K468))-LEN(SUBSTITUTE(TRIM(Stage!K468),",",""))+1)</f>
        <v>4</v>
      </c>
      <c r="I443" s="119">
        <f>Stage!O468+Stage!P468+Stage!N468+Stage!Q468+Stage!M468</f>
        <v>11</v>
      </c>
      <c r="J443" s="119">
        <f>IF(Stage!F468=0,0,I443/Stage!F468)</f>
        <v>5.5E-2</v>
      </c>
      <c r="K443" s="120">
        <f t="shared" si="18"/>
        <v>49.472265609355603</v>
      </c>
      <c r="L443" s="120">
        <f t="shared" si="20"/>
        <v>48.217702942360596</v>
      </c>
      <c r="M443" s="119" t="str">
        <f t="shared" si="19"/>
        <v>어려움</v>
      </c>
    </row>
    <row r="444" spans="1:13" ht="15.95" customHeight="1" x14ac:dyDescent="0.3">
      <c r="A444" s="117">
        <v>431</v>
      </c>
      <c r="B444" s="117" t="str">
        <f>Stage!C469</f>
        <v>N 431</v>
      </c>
      <c r="C444" s="117">
        <f>Stage!F469</f>
        <v>170</v>
      </c>
      <c r="D444" s="117">
        <f>IF(Stage!G469="",0,LEN(TRIM(Stage!G469))-LEN(SUBSTITUTE(TRIM(Stage!G469),",",""))+1)</f>
        <v>3</v>
      </c>
      <c r="E444" s="117">
        <f>IF(ISERROR(FIND(",",Stage!H469)),VALUE(Stage!H469),(VALUE(LEFT(Stage!H469,FIND(",",Stage!H469)-1))+VALUE(TRIM(MID(Stage!H469,FIND("|",SUBSTITUTE(Stage!H469,",","|",LEN(Stage!H469)-LEN(SUBSTITUTE(Stage!H469,",",""))))+1,100))))/2)</f>
        <v>3</v>
      </c>
      <c r="F444" s="117">
        <f>IF(ISERROR(FIND(",",Stage!I469)),VALUE(Stage!I469),(VALUE(LEFT(Stage!I469,FIND(",",Stage!I469)-1))+VALUE(TRIM(MID(Stage!I469,FIND("|",SUBSTITUTE(Stage!I469,",","|",LEN(Stage!I469)-LEN(SUBSTITUTE(Stage!I469,",",""))))+1,100))))/2)</f>
        <v>0.3</v>
      </c>
      <c r="G444" s="117">
        <f>IF(ISERROR(FIND(",",Stage!J469)),VALUE(Stage!J469),VALUE(LEFT(Stage!J469,FIND(",",Stage!J469)-1)))</f>
        <v>34</v>
      </c>
      <c r="H444" s="117">
        <f>IF(Stage!K469="",0,LEN(TRIM(Stage!K469))-LEN(SUBSTITUTE(TRIM(Stage!K469),",",""))+1)</f>
        <v>4</v>
      </c>
      <c r="I444" s="117">
        <f>Stage!O469+Stage!P469+Stage!N469+Stage!Q469+Stage!M469</f>
        <v>4</v>
      </c>
      <c r="J444" s="117">
        <f>IF(Stage!F469=0,0,I444/Stage!F469)</f>
        <v>2.3529411764705882E-2</v>
      </c>
      <c r="K444" s="118">
        <f t="shared" si="18"/>
        <v>44.480803254859552</v>
      </c>
      <c r="L444" s="118">
        <f t="shared" si="20"/>
        <v>47.771258684814576</v>
      </c>
      <c r="M444" s="117" t="str">
        <f t="shared" si="19"/>
        <v>보통</v>
      </c>
    </row>
    <row r="445" spans="1:13" ht="15.95" customHeight="1" x14ac:dyDescent="0.3">
      <c r="A445" s="119">
        <v>432</v>
      </c>
      <c r="B445" s="119" t="str">
        <f>Stage!C470</f>
        <v>N 432</v>
      </c>
      <c r="C445" s="119">
        <f>Stage!F470</f>
        <v>200</v>
      </c>
      <c r="D445" s="119">
        <f>IF(Stage!G470="",0,LEN(TRIM(Stage!G470))-LEN(SUBSTITUTE(TRIM(Stage!G470),",",""))+1)</f>
        <v>3</v>
      </c>
      <c r="E445" s="119">
        <f>IF(ISERROR(FIND(",",Stage!H470)),VALUE(Stage!H470),(VALUE(LEFT(Stage!H470,FIND(",",Stage!H470)-1))+VALUE(TRIM(MID(Stage!H470,FIND("|",SUBSTITUTE(Stage!H470,",","|",LEN(Stage!H470)-LEN(SUBSTITUTE(Stage!H470,",",""))))+1,100))))/2)</f>
        <v>3</v>
      </c>
      <c r="F445" s="119">
        <f>IF(ISERROR(FIND(",",Stage!I470)),VALUE(Stage!I470),(VALUE(LEFT(Stage!I470,FIND(",",Stage!I470)-1))+VALUE(TRIM(MID(Stage!I470,FIND("|",SUBSTITUTE(Stage!I470,",","|",LEN(Stage!I470)-LEN(SUBSTITUTE(Stage!I470,",",""))))+1,100))))/2)</f>
        <v>0.2</v>
      </c>
      <c r="G445" s="119">
        <f>IF(ISERROR(FIND(",",Stage!J470)),VALUE(Stage!J470),VALUE(LEFT(Stage!J470,FIND(",",Stage!J470)-1)))</f>
        <v>40</v>
      </c>
      <c r="H445" s="119">
        <f>IF(Stage!K470="",0,LEN(TRIM(Stage!K470))-LEN(SUBSTITUTE(TRIM(Stage!K470),",",""))+1)</f>
        <v>4</v>
      </c>
      <c r="I445" s="119">
        <f>Stage!O470+Stage!P470+Stage!N470+Stage!Q470+Stage!M470</f>
        <v>11</v>
      </c>
      <c r="J445" s="119">
        <f>IF(Stage!F470=0,0,I445/Stage!F470)</f>
        <v>5.5E-2</v>
      </c>
      <c r="K445" s="120">
        <f t="shared" si="18"/>
        <v>49.472265609355603</v>
      </c>
      <c r="L445" s="120">
        <f t="shared" si="20"/>
        <v>47.029236410011158</v>
      </c>
      <c r="M445" s="119" t="str">
        <f t="shared" si="19"/>
        <v>어려움</v>
      </c>
    </row>
    <row r="446" spans="1:13" ht="15.95" customHeight="1" x14ac:dyDescent="0.3">
      <c r="A446" s="117">
        <v>433</v>
      </c>
      <c r="B446" s="117" t="str">
        <f>Stage!C471</f>
        <v>N 433</v>
      </c>
      <c r="C446" s="117">
        <f>Stage!F471</f>
        <v>180</v>
      </c>
      <c r="D446" s="117">
        <f>IF(Stage!G471="",0,LEN(TRIM(Stage!G471))-LEN(SUBSTITUTE(TRIM(Stage!G471),",",""))+1)</f>
        <v>3</v>
      </c>
      <c r="E446" s="117">
        <f>IF(ISERROR(FIND(",",Stage!H471)),VALUE(Stage!H471),(VALUE(LEFT(Stage!H471,FIND(",",Stage!H471)-1))+VALUE(TRIM(MID(Stage!H471,FIND("|",SUBSTITUTE(Stage!H471,",","|",LEN(Stage!H471)-LEN(SUBSTITUTE(Stage!H471,",",""))))+1,100))))/2)</f>
        <v>3</v>
      </c>
      <c r="F446" s="117">
        <f>IF(ISERROR(FIND(",",Stage!I471)),VALUE(Stage!I471),(VALUE(LEFT(Stage!I471,FIND(",",Stage!I471)-1))+VALUE(TRIM(MID(Stage!I471,FIND("|",SUBSTITUTE(Stage!I471,",","|",LEN(Stage!I471)-LEN(SUBSTITUTE(Stage!I471,",",""))))+1,100))))/2)</f>
        <v>0.2</v>
      </c>
      <c r="G446" s="117">
        <f>IF(ISERROR(FIND(",",Stage!J471)),VALUE(Stage!J471),VALUE(LEFT(Stage!J471,FIND(",",Stage!J471)-1)))</f>
        <v>36</v>
      </c>
      <c r="H446" s="117">
        <f>IF(Stage!K471="",0,LEN(TRIM(Stage!K471))-LEN(SUBSTITUTE(TRIM(Stage!K471),",",""))+1)</f>
        <v>4</v>
      </c>
      <c r="I446" s="117">
        <f>Stage!O471+Stage!P471+Stage!N471+Stage!Q471+Stage!M471</f>
        <v>7</v>
      </c>
      <c r="J446" s="117">
        <f>IF(Stage!F471=0,0,I446/Stage!F471)</f>
        <v>3.888888888888889E-2</v>
      </c>
      <c r="K446" s="118">
        <f t="shared" si="18"/>
        <v>47.240044321625483</v>
      </c>
      <c r="L446" s="118">
        <f t="shared" si="20"/>
        <v>44.976752491242209</v>
      </c>
      <c r="M446" s="117" t="str">
        <f t="shared" si="19"/>
        <v>어려움</v>
      </c>
    </row>
    <row r="447" spans="1:13" ht="15.95" customHeight="1" x14ac:dyDescent="0.3">
      <c r="A447" s="119">
        <v>434</v>
      </c>
      <c r="B447" s="119" t="str">
        <f>Stage!C472</f>
        <v>N 434</v>
      </c>
      <c r="C447" s="119">
        <f>Stage!F472</f>
        <v>170</v>
      </c>
      <c r="D447" s="119">
        <f>IF(Stage!G472="",0,LEN(TRIM(Stage!G472))-LEN(SUBSTITUTE(TRIM(Stage!G472),",",""))+1)</f>
        <v>3</v>
      </c>
      <c r="E447" s="119">
        <f>IF(ISERROR(FIND(",",Stage!H472)),VALUE(Stage!H472),(VALUE(LEFT(Stage!H472,FIND(",",Stage!H472)-1))+VALUE(TRIM(MID(Stage!H472,FIND("|",SUBSTITUTE(Stage!H472,",","|",LEN(Stage!H472)-LEN(SUBSTITUTE(Stage!H472,",",""))))+1,100))))/2)</f>
        <v>3</v>
      </c>
      <c r="F447" s="119">
        <f>IF(ISERROR(FIND(",",Stage!I472)),VALUE(Stage!I472),(VALUE(LEFT(Stage!I472,FIND(",",Stage!I472)-1))+VALUE(TRIM(MID(Stage!I472,FIND("|",SUBSTITUTE(Stage!I472,",","|",LEN(Stage!I472)-LEN(SUBSTITUTE(Stage!I472,",",""))))+1,100))))/2)</f>
        <v>0.3</v>
      </c>
      <c r="G447" s="119">
        <f>IF(ISERROR(FIND(",",Stage!J472)),VALUE(Stage!J472),VALUE(LEFT(Stage!J472,FIND(",",Stage!J472)-1)))</f>
        <v>34</v>
      </c>
      <c r="H447" s="119">
        <f>IF(Stage!K472="",0,LEN(TRIM(Stage!K472))-LEN(SUBSTITUTE(TRIM(Stage!K472),",",""))+1)</f>
        <v>4</v>
      </c>
      <c r="I447" s="119">
        <f>Stage!O472+Stage!P472+Stage!N472+Stage!Q472+Stage!M472</f>
        <v>4</v>
      </c>
      <c r="J447" s="119">
        <f>IF(Stage!F472=0,0,I447/Stage!F472)</f>
        <v>2.3529411764705882E-2</v>
      </c>
      <c r="K447" s="120">
        <f t="shared" si="18"/>
        <v>44.480803254859552</v>
      </c>
      <c r="L447" s="120">
        <f t="shared" si="20"/>
        <v>43.966620838809128</v>
      </c>
      <c r="M447" s="119" t="str">
        <f t="shared" si="19"/>
        <v>보통</v>
      </c>
    </row>
    <row r="448" spans="1:13" ht="15.95" customHeight="1" x14ac:dyDescent="0.3">
      <c r="A448" s="117">
        <v>435</v>
      </c>
      <c r="B448" s="117" t="str">
        <f>Stage!C473</f>
        <v>N 435</v>
      </c>
      <c r="C448" s="117">
        <f>Stage!F473</f>
        <v>155</v>
      </c>
      <c r="D448" s="117">
        <f>IF(Stage!G473="",0,LEN(TRIM(Stage!G473))-LEN(SUBSTITUTE(TRIM(Stage!G473),",",""))+1)</f>
        <v>3</v>
      </c>
      <c r="E448" s="117">
        <f>IF(ISERROR(FIND(",",Stage!H473)),VALUE(Stage!H473),(VALUE(LEFT(Stage!H473,FIND(",",Stage!H473)-1))+VALUE(TRIM(MID(Stage!H473,FIND("|",SUBSTITUTE(Stage!H473,",","|",LEN(Stage!H473)-LEN(SUBSTITUTE(Stage!H473,",",""))))+1,100))))/2)</f>
        <v>2.5</v>
      </c>
      <c r="F448" s="117">
        <f>IF(ISERROR(FIND(",",Stage!I473)),VALUE(Stage!I473),(VALUE(LEFT(Stage!I473,FIND(",",Stage!I473)-1))+VALUE(TRIM(MID(Stage!I473,FIND("|",SUBSTITUTE(Stage!I473,",","|",LEN(Stage!I473)-LEN(SUBSTITUTE(Stage!I473,",",""))))+1,100))))/2)</f>
        <v>0.4</v>
      </c>
      <c r="G448" s="117">
        <f>IF(ISERROR(FIND(",",Stage!J473)),VALUE(Stage!J473),VALUE(LEFT(Stage!J473,FIND(",",Stage!J473)-1)))</f>
        <v>31</v>
      </c>
      <c r="H448" s="117">
        <f>IF(Stage!K473="",0,LEN(TRIM(Stage!K473))-LEN(SUBSTITUTE(TRIM(Stage!K473),",",""))+1)</f>
        <v>4</v>
      </c>
      <c r="I448" s="117">
        <f>Stage!O473+Stage!P473+Stage!N473+Stage!Q473+Stage!M473</f>
        <v>1</v>
      </c>
      <c r="J448" s="117">
        <f>IF(Stage!F473=0,0,I448/Stage!F473)</f>
        <v>6.4516129032258064E-3</v>
      </c>
      <c r="K448" s="118">
        <f t="shared" si="18"/>
        <v>39.209846015510841</v>
      </c>
      <c r="L448" s="118">
        <f t="shared" si="20"/>
        <v>43.746294160043242</v>
      </c>
      <c r="M448" s="117" t="str">
        <f t="shared" si="19"/>
        <v>보통</v>
      </c>
    </row>
    <row r="449" spans="1:13" ht="15.95" customHeight="1" x14ac:dyDescent="0.3">
      <c r="A449" s="119">
        <v>436</v>
      </c>
      <c r="B449" s="119" t="str">
        <f>Stage!C474</f>
        <v>N 436</v>
      </c>
      <c r="C449" s="119">
        <f>Stage!F474</f>
        <v>155</v>
      </c>
      <c r="D449" s="119">
        <f>IF(Stage!G474="",0,LEN(TRIM(Stage!G474))-LEN(SUBSTITUTE(TRIM(Stage!G474),",",""))+1)</f>
        <v>3</v>
      </c>
      <c r="E449" s="119">
        <f>IF(ISERROR(FIND(",",Stage!H474)),VALUE(Stage!H474),(VALUE(LEFT(Stage!H474,FIND(",",Stage!H474)-1))+VALUE(TRIM(MID(Stage!H474,FIND("|",SUBSTITUTE(Stage!H474,",","|",LEN(Stage!H474)-LEN(SUBSTITUTE(Stage!H474,",",""))))+1,100))))/2)</f>
        <v>2.5</v>
      </c>
      <c r="F449" s="119">
        <f>IF(ISERROR(FIND(",",Stage!I474)),VALUE(Stage!I474),(VALUE(LEFT(Stage!I474,FIND(",",Stage!I474)-1))+VALUE(TRIM(MID(Stage!I474,FIND("|",SUBSTITUTE(Stage!I474,",","|",LEN(Stage!I474)-LEN(SUBSTITUTE(Stage!I474,",",""))))+1,100))))/2)</f>
        <v>0.4</v>
      </c>
      <c r="G449" s="119">
        <f>IF(ISERROR(FIND(",",Stage!J474)),VALUE(Stage!J474),VALUE(LEFT(Stage!J474,FIND(",",Stage!J474)-1)))</f>
        <v>31</v>
      </c>
      <c r="H449" s="119">
        <f>IF(Stage!K474="",0,LEN(TRIM(Stage!K474))-LEN(SUBSTITUTE(TRIM(Stage!K474),",",""))+1)</f>
        <v>4</v>
      </c>
      <c r="I449" s="119">
        <f>Stage!O474+Stage!P474+Stage!N474+Stage!Q474+Stage!M474</f>
        <v>2</v>
      </c>
      <c r="J449" s="119">
        <f>IF(Stage!F474=0,0,I449/Stage!F474)</f>
        <v>1.2903225806451613E-2</v>
      </c>
      <c r="K449" s="120">
        <f t="shared" si="18"/>
        <v>39.43014499269416</v>
      </c>
      <c r="L449" s="120">
        <f t="shared" si="20"/>
        <v>42.667317441032885</v>
      </c>
      <c r="M449" s="119" t="str">
        <f t="shared" si="19"/>
        <v>보통</v>
      </c>
    </row>
    <row r="450" spans="1:13" ht="15.95" customHeight="1" x14ac:dyDescent="0.3">
      <c r="A450" s="117">
        <v>437</v>
      </c>
      <c r="B450" s="117" t="str">
        <f>Stage!C475</f>
        <v>N 437</v>
      </c>
      <c r="C450" s="117">
        <f>Stage!F475</f>
        <v>190</v>
      </c>
      <c r="D450" s="117">
        <f>IF(Stage!G475="",0,LEN(TRIM(Stage!G475))-LEN(SUBSTITUTE(TRIM(Stage!G475),",",""))+1)</f>
        <v>3</v>
      </c>
      <c r="E450" s="117">
        <f>IF(ISERROR(FIND(",",Stage!H475)),VALUE(Stage!H475),(VALUE(LEFT(Stage!H475,FIND(",",Stage!H475)-1))+VALUE(TRIM(MID(Stage!H475,FIND("|",SUBSTITUTE(Stage!H475,",","|",LEN(Stage!H475)-LEN(SUBSTITUTE(Stage!H475,",",""))))+1,100))))/2)</f>
        <v>3</v>
      </c>
      <c r="F450" s="117">
        <f>IF(ISERROR(FIND(",",Stage!I475)),VALUE(Stage!I475),(VALUE(LEFT(Stage!I475,FIND(",",Stage!I475)-1))+VALUE(TRIM(MID(Stage!I475,FIND("|",SUBSTITUTE(Stage!I475,",","|",LEN(Stage!I475)-LEN(SUBSTITUTE(Stage!I475,",",""))))+1,100))))/2)</f>
        <v>0.2</v>
      </c>
      <c r="G450" s="117">
        <f>IF(ISERROR(FIND(",",Stage!J475)),VALUE(Stage!J475),VALUE(LEFT(Stage!J475,FIND(",",Stage!J475)-1)))</f>
        <v>38</v>
      </c>
      <c r="H450" s="117">
        <f>IF(Stage!K475="",0,LEN(TRIM(Stage!K475))-LEN(SUBSTITUTE(TRIM(Stage!K475),",",""))+1)</f>
        <v>4</v>
      </c>
      <c r="I450" s="117">
        <f>Stage!O475+Stage!P475+Stage!N475+Stage!Q475+Stage!M475</f>
        <v>9</v>
      </c>
      <c r="J450" s="117">
        <f>IF(Stage!F475=0,0,I450/Stage!F475)</f>
        <v>4.736842105263158E-2</v>
      </c>
      <c r="K450" s="118">
        <f t="shared" si="18"/>
        <v>48.3706322155262</v>
      </c>
      <c r="L450" s="118">
        <f t="shared" si="20"/>
        <v>42.667317441032885</v>
      </c>
      <c r="M450" s="117" t="str">
        <f t="shared" si="19"/>
        <v>어려움</v>
      </c>
    </row>
    <row r="451" spans="1:13" ht="15.95" customHeight="1" x14ac:dyDescent="0.3">
      <c r="A451" s="119">
        <v>438</v>
      </c>
      <c r="B451" s="119" t="str">
        <f>Stage!C476</f>
        <v>N 438</v>
      </c>
      <c r="C451" s="119">
        <f>Stage!F476</f>
        <v>165</v>
      </c>
      <c r="D451" s="119">
        <f>IF(Stage!G476="",0,LEN(TRIM(Stage!G476))-LEN(SUBSTITUTE(TRIM(Stage!G476),",",""))+1)</f>
        <v>3</v>
      </c>
      <c r="E451" s="119">
        <f>IF(ISERROR(FIND(",",Stage!H476)),VALUE(Stage!H476),(VALUE(LEFT(Stage!H476,FIND(",",Stage!H476)-1))+VALUE(TRIM(MID(Stage!H476,FIND("|",SUBSTITUTE(Stage!H476,",","|",LEN(Stage!H476)-LEN(SUBSTITUTE(Stage!H476,",",""))))+1,100))))/2)</f>
        <v>2.5</v>
      </c>
      <c r="F451" s="119">
        <f>IF(ISERROR(FIND(",",Stage!I476)),VALUE(Stage!I476),(VALUE(LEFT(Stage!I476,FIND(",",Stage!I476)-1))+VALUE(TRIM(MID(Stage!I476,FIND("|",SUBSTITUTE(Stage!I476,",","|",LEN(Stage!I476)-LEN(SUBSTITUTE(Stage!I476,",",""))))+1,100))))/2)</f>
        <v>0.3</v>
      </c>
      <c r="G451" s="119">
        <f>IF(ISERROR(FIND(",",Stage!J476)),VALUE(Stage!J476),VALUE(LEFT(Stage!J476,FIND(",",Stage!J476)-1)))</f>
        <v>33</v>
      </c>
      <c r="H451" s="119">
        <f>IF(Stage!K476="",0,LEN(TRIM(Stage!K476))-LEN(SUBSTITUTE(TRIM(Stage!K476),",",""))+1)</f>
        <v>4</v>
      </c>
      <c r="I451" s="119">
        <f>Stage!O476+Stage!P476+Stage!N476+Stage!Q476+Stage!M476</f>
        <v>3</v>
      </c>
      <c r="J451" s="119">
        <f>IF(Stage!F476=0,0,I451/Stage!F476)</f>
        <v>1.8181818181818181E-2</v>
      </c>
      <c r="K451" s="120">
        <f t="shared" si="18"/>
        <v>41.845160726573674</v>
      </c>
      <c r="L451" s="120">
        <f t="shared" si="20"/>
        <v>43.721508888902626</v>
      </c>
      <c r="M451" s="119" t="str">
        <f t="shared" si="19"/>
        <v>보통</v>
      </c>
    </row>
    <row r="452" spans="1:13" ht="15.95" customHeight="1" x14ac:dyDescent="0.3">
      <c r="A452" s="117">
        <v>439</v>
      </c>
      <c r="B452" s="117" t="str">
        <f>Stage!C477</f>
        <v>N 439</v>
      </c>
      <c r="C452" s="117">
        <f>Stage!F477</f>
        <v>170</v>
      </c>
      <c r="D452" s="117">
        <f>IF(Stage!G477="",0,LEN(TRIM(Stage!G477))-LEN(SUBSTITUTE(TRIM(Stage!G477),",",""))+1)</f>
        <v>3</v>
      </c>
      <c r="E452" s="117">
        <f>IF(ISERROR(FIND(",",Stage!H477)),VALUE(Stage!H477),(VALUE(LEFT(Stage!H477,FIND(",",Stage!H477)-1))+VALUE(TRIM(MID(Stage!H477,FIND("|",SUBSTITUTE(Stage!H477,",","|",LEN(Stage!H477)-LEN(SUBSTITUTE(Stage!H477,",",""))))+1,100))))/2)</f>
        <v>3</v>
      </c>
      <c r="F452" s="117">
        <f>IF(ISERROR(FIND(",",Stage!I477)),VALUE(Stage!I477),(VALUE(LEFT(Stage!I477,FIND(",",Stage!I477)-1))+VALUE(TRIM(MID(Stage!I477,FIND("|",SUBSTITUTE(Stage!I477,",","|",LEN(Stage!I477)-LEN(SUBSTITUTE(Stage!I477,",",""))))+1,100))))/2)</f>
        <v>0.3</v>
      </c>
      <c r="G452" s="117">
        <f>IF(ISERROR(FIND(",",Stage!J477)),VALUE(Stage!J477),VALUE(LEFT(Stage!J477,FIND(",",Stage!J477)-1)))</f>
        <v>34</v>
      </c>
      <c r="H452" s="117">
        <f>IF(Stage!K477="",0,LEN(TRIM(Stage!K477))-LEN(SUBSTITUTE(TRIM(Stage!K477),",",""))+1)</f>
        <v>4</v>
      </c>
      <c r="I452" s="117">
        <f>Stage!O477+Stage!P477+Stage!N477+Stage!Q477+Stage!M477</f>
        <v>4</v>
      </c>
      <c r="J452" s="117">
        <f>IF(Stage!F477=0,0,I452/Stage!F477)</f>
        <v>2.3529411764705882E-2</v>
      </c>
      <c r="K452" s="118">
        <f t="shared" si="18"/>
        <v>44.480803254859552</v>
      </c>
      <c r="L452" s="118">
        <f t="shared" si="20"/>
        <v>42.068288573130431</v>
      </c>
      <c r="M452" s="117" t="str">
        <f t="shared" si="19"/>
        <v>보통</v>
      </c>
    </row>
    <row r="453" spans="1:13" ht="15.95" customHeight="1" x14ac:dyDescent="0.3">
      <c r="A453" s="119">
        <v>440</v>
      </c>
      <c r="B453" s="119" t="str">
        <f>Stage!C478</f>
        <v>N 440</v>
      </c>
      <c r="C453" s="119">
        <f>Stage!F478</f>
        <v>170</v>
      </c>
      <c r="D453" s="119">
        <f>IF(Stage!G478="",0,LEN(TRIM(Stage!G478))-LEN(SUBSTITUTE(TRIM(Stage!G478),",",""))+1)</f>
        <v>3</v>
      </c>
      <c r="E453" s="119">
        <f>IF(ISERROR(FIND(",",Stage!H478)),VALUE(Stage!H478),(VALUE(LEFT(Stage!H478,FIND(",",Stage!H478)-1))+VALUE(TRIM(MID(Stage!H478,FIND("|",SUBSTITUTE(Stage!H478,",","|",LEN(Stage!H478)-LEN(SUBSTITUTE(Stage!H478,",",""))))+1,100))))/2)</f>
        <v>3</v>
      </c>
      <c r="F453" s="119">
        <f>IF(ISERROR(FIND(",",Stage!I478)),VALUE(Stage!I478),(VALUE(LEFT(Stage!I478,FIND(",",Stage!I478)-1))+VALUE(TRIM(MID(Stage!I478,FIND("|",SUBSTITUTE(Stage!I478,",","|",LEN(Stage!I478)-LEN(SUBSTITUTE(Stage!I478,",",""))))+1,100))))/2)</f>
        <v>0.3</v>
      </c>
      <c r="G453" s="119">
        <f>IF(ISERROR(FIND(",",Stage!J478)),VALUE(Stage!J478),VALUE(LEFT(Stage!J478,FIND(",",Stage!J478)-1)))</f>
        <v>34</v>
      </c>
      <c r="H453" s="119">
        <f>IF(Stage!K478="",0,LEN(TRIM(Stage!K478))-LEN(SUBSTITUTE(TRIM(Stage!K478),",",""))+1)</f>
        <v>4</v>
      </c>
      <c r="I453" s="119">
        <f>Stage!O478+Stage!P478+Stage!N478+Stage!Q478+Stage!M478</f>
        <v>4</v>
      </c>
      <c r="J453" s="119">
        <f>IF(Stage!F478=0,0,I453/Stage!F478)</f>
        <v>2.3529411764705882E-2</v>
      </c>
      <c r="K453" s="120">
        <f t="shared" si="18"/>
        <v>44.480803254859552</v>
      </c>
      <c r="L453" s="120">
        <f t="shared" si="20"/>
        <v>40.153495703656489</v>
      </c>
      <c r="M453" s="119" t="str">
        <f t="shared" si="19"/>
        <v>보통</v>
      </c>
    </row>
    <row r="454" spans="1:13" ht="15.95" customHeight="1" x14ac:dyDescent="0.3">
      <c r="A454" s="117">
        <v>441</v>
      </c>
      <c r="B454" s="117" t="str">
        <f>Stage!C479</f>
        <v>N 441</v>
      </c>
      <c r="C454" s="117">
        <f>Stage!F479</f>
        <v>100</v>
      </c>
      <c r="D454" s="117">
        <f>IF(Stage!G479="",0,LEN(TRIM(Stage!G479))-LEN(SUBSTITUTE(TRIM(Stage!G479),",",""))+1)</f>
        <v>3</v>
      </c>
      <c r="E454" s="117">
        <f>IF(ISERROR(FIND(",",Stage!H479)),VALUE(Stage!H479),(VALUE(LEFT(Stage!H479,FIND(",",Stage!H479)-1))+VALUE(TRIM(MID(Stage!H479,FIND("|",SUBSTITUTE(Stage!H479,",","|",LEN(Stage!H479)-LEN(SUBSTITUTE(Stage!H479,",",""))))+1,100))))/2)</f>
        <v>2</v>
      </c>
      <c r="F454" s="117">
        <f>IF(ISERROR(FIND(",",Stage!I479)),VALUE(Stage!I479),(VALUE(LEFT(Stage!I479,FIND(",",Stage!I479)-1))+VALUE(TRIM(MID(Stage!I479,FIND("|",SUBSTITUTE(Stage!I479,",","|",LEN(Stage!I479)-LEN(SUBSTITUTE(Stage!I479,",",""))))+1,100))))/2)</f>
        <v>0.5</v>
      </c>
      <c r="G454" s="117">
        <f>IF(ISERROR(FIND(",",Stage!J479)),VALUE(Stage!J479),VALUE(LEFT(Stage!J479,FIND(",",Stage!J479)-1)))</f>
        <v>25</v>
      </c>
      <c r="H454" s="117">
        <f>IF(Stage!K479="",0,LEN(TRIM(Stage!K479))-LEN(SUBSTITUTE(TRIM(Stage!K479),",",""))+1)</f>
        <v>3</v>
      </c>
      <c r="I454" s="117">
        <f>Stage!O479+Stage!P479+Stage!N479+Stage!Q479+Stage!M479</f>
        <v>0</v>
      </c>
      <c r="J454" s="117">
        <f>IF(Stage!F479=0,0,I454/Stage!F479)</f>
        <v>0</v>
      </c>
      <c r="K454" s="118">
        <f t="shared" si="18"/>
        <v>31.164043413833152</v>
      </c>
      <c r="L454" s="118">
        <f t="shared" si="20"/>
        <v>39.751843108984545</v>
      </c>
      <c r="M454" s="117" t="str">
        <f t="shared" si="19"/>
        <v>보통</v>
      </c>
    </row>
    <row r="455" spans="1:13" ht="15.95" customHeight="1" x14ac:dyDescent="0.3">
      <c r="A455" s="119">
        <v>442</v>
      </c>
      <c r="B455" s="119" t="str">
        <f>Stage!C480</f>
        <v>N 442</v>
      </c>
      <c r="C455" s="119">
        <f>Stage!F480</f>
        <v>150</v>
      </c>
      <c r="D455" s="119">
        <f>IF(Stage!G480="",0,LEN(TRIM(Stage!G480))-LEN(SUBSTITUTE(TRIM(Stage!G480),",",""))+1)</f>
        <v>3</v>
      </c>
      <c r="E455" s="119">
        <f>IF(ISERROR(FIND(",",Stage!H480)),VALUE(Stage!H480),(VALUE(LEFT(Stage!H480,FIND(",",Stage!H480)-1))+VALUE(TRIM(MID(Stage!H480,FIND("|",SUBSTITUTE(Stage!H480,",","|",LEN(Stage!H480)-LEN(SUBSTITUTE(Stage!H480,",",""))))+1,100))))/2)</f>
        <v>2.5</v>
      </c>
      <c r="F455" s="119">
        <f>IF(ISERROR(FIND(",",Stage!I480)),VALUE(Stage!I480),(VALUE(LEFT(Stage!I480,FIND(",",Stage!I480)-1))+VALUE(TRIM(MID(Stage!I480,FIND("|",SUBSTITUTE(Stage!I480,",","|",LEN(Stage!I480)-LEN(SUBSTITUTE(Stage!I480,",",""))))+1,100))))/2)</f>
        <v>0.4</v>
      </c>
      <c r="G455" s="119">
        <f>IF(ISERROR(FIND(",",Stage!J480)),VALUE(Stage!J480),VALUE(LEFT(Stage!J480,FIND(",",Stage!J480)-1)))</f>
        <v>30</v>
      </c>
      <c r="H455" s="119">
        <f>IF(Stage!K480="",0,LEN(TRIM(Stage!K480))-LEN(SUBSTITUTE(TRIM(Stage!K480),",",""))+1)</f>
        <v>4</v>
      </c>
      <c r="I455" s="119">
        <f>Stage!O480+Stage!P480+Stage!N480+Stage!Q480+Stage!M480</f>
        <v>1</v>
      </c>
      <c r="J455" s="119">
        <f>IF(Stage!F480=0,0,I455/Stage!F480)</f>
        <v>6.6666666666666671E-3</v>
      </c>
      <c r="K455" s="120">
        <f t="shared" si="18"/>
        <v>38.796667868156511</v>
      </c>
      <c r="L455" s="120">
        <f t="shared" si="20"/>
        <v>40.265750942933934</v>
      </c>
      <c r="M455" s="119" t="str">
        <f t="shared" si="19"/>
        <v>보통</v>
      </c>
    </row>
    <row r="456" spans="1:13" ht="15.95" customHeight="1" x14ac:dyDescent="0.3">
      <c r="A456" s="117">
        <v>443</v>
      </c>
      <c r="B456" s="117" t="str">
        <f>Stage!C481</f>
        <v>N 443</v>
      </c>
      <c r="C456" s="117">
        <f>Stage!F481</f>
        <v>160</v>
      </c>
      <c r="D456" s="117">
        <f>IF(Stage!G481="",0,LEN(TRIM(Stage!G481))-LEN(SUBSTITUTE(TRIM(Stage!G481),",",""))+1)</f>
        <v>3</v>
      </c>
      <c r="E456" s="117">
        <f>IF(ISERROR(FIND(",",Stage!H481)),VALUE(Stage!H481),(VALUE(LEFT(Stage!H481,FIND(",",Stage!H481)-1))+VALUE(TRIM(MID(Stage!H481,FIND("|",SUBSTITUTE(Stage!H481,",","|",LEN(Stage!H481)-LEN(SUBSTITUTE(Stage!H481,",",""))))+1,100))))/2)</f>
        <v>2.5</v>
      </c>
      <c r="F456" s="117">
        <f>IF(ISERROR(FIND(",",Stage!I481)),VALUE(Stage!I481),(VALUE(LEFT(Stage!I481,FIND(",",Stage!I481)-1))+VALUE(TRIM(MID(Stage!I481,FIND("|",SUBSTITUTE(Stage!I481,",","|",LEN(Stage!I481)-LEN(SUBSTITUTE(Stage!I481,",",""))))+1,100))))/2)</f>
        <v>0.4</v>
      </c>
      <c r="G456" s="117">
        <f>IF(ISERROR(FIND(",",Stage!J481)),VALUE(Stage!J481),VALUE(LEFT(Stage!J481,FIND(",",Stage!J481)-1)))</f>
        <v>32</v>
      </c>
      <c r="H456" s="117">
        <f>IF(Stage!K481="",0,LEN(TRIM(Stage!K481))-LEN(SUBSTITUTE(TRIM(Stage!K481),",",""))+1)</f>
        <v>4</v>
      </c>
      <c r="I456" s="117">
        <f>Stage!O481+Stage!P481+Stage!N481+Stage!Q481+Stage!M481</f>
        <v>2</v>
      </c>
      <c r="J456" s="117">
        <f>IF(Stage!F481=0,0,I456/Stage!F481)</f>
        <v>1.2500000000000001E-2</v>
      </c>
      <c r="K456" s="118">
        <f t="shared" si="18"/>
        <v>39.836897753213982</v>
      </c>
      <c r="L456" s="118">
        <f t="shared" si="20"/>
        <v>41.154548255221087</v>
      </c>
      <c r="M456" s="117" t="str">
        <f t="shared" si="19"/>
        <v>보통</v>
      </c>
    </row>
    <row r="457" spans="1:13" ht="15.95" customHeight="1" x14ac:dyDescent="0.3">
      <c r="A457" s="119">
        <v>444</v>
      </c>
      <c r="B457" s="119" t="str">
        <f>Stage!C482</f>
        <v>N 444</v>
      </c>
      <c r="C457" s="119">
        <f>Stage!F482</f>
        <v>180</v>
      </c>
      <c r="D457" s="119">
        <f>IF(Stage!G482="",0,LEN(TRIM(Stage!G482))-LEN(SUBSTITUTE(TRIM(Stage!G482),",",""))+1)</f>
        <v>3</v>
      </c>
      <c r="E457" s="119">
        <f>IF(ISERROR(FIND(",",Stage!H482)),VALUE(Stage!H482),(VALUE(LEFT(Stage!H482,FIND(",",Stage!H482)-1))+VALUE(TRIM(MID(Stage!H482,FIND("|",SUBSTITUTE(Stage!H482,",","|",LEN(Stage!H482)-LEN(SUBSTITUTE(Stage!H482,",",""))))+1,100))))/2)</f>
        <v>3</v>
      </c>
      <c r="F457" s="119">
        <f>IF(ISERROR(FIND(",",Stage!I482)),VALUE(Stage!I482),(VALUE(LEFT(Stage!I482,FIND(",",Stage!I482)-1))+VALUE(TRIM(MID(Stage!I482,FIND("|",SUBSTITUTE(Stage!I482,",","|",LEN(Stage!I482)-LEN(SUBSTITUTE(Stage!I482,",",""))))+1,100))))/2)</f>
        <v>0.2</v>
      </c>
      <c r="G457" s="119">
        <f>IF(ISERROR(FIND(",",Stage!J482)),VALUE(Stage!J482),VALUE(LEFT(Stage!J482,FIND(",",Stage!J482)-1)))</f>
        <v>36</v>
      </c>
      <c r="H457" s="119">
        <f>IF(Stage!K482="",0,LEN(TRIM(Stage!K482))-LEN(SUBSTITUTE(TRIM(Stage!K482),",",""))+1)</f>
        <v>4</v>
      </c>
      <c r="I457" s="119">
        <f>Stage!O482+Stage!P482+Stage!N482+Stage!Q482+Stage!M482</f>
        <v>6</v>
      </c>
      <c r="J457" s="119">
        <f>IF(Stage!F482=0,0,I457/Stage!F482)</f>
        <v>3.3333333333333333E-2</v>
      </c>
      <c r="K457" s="120">
        <f t="shared" si="18"/>
        <v>47.050342424606512</v>
      </c>
      <c r="L457" s="120">
        <f t="shared" si="20"/>
        <v>42.763708775556623</v>
      </c>
      <c r="M457" s="119" t="str">
        <f t="shared" si="19"/>
        <v>어려움</v>
      </c>
    </row>
    <row r="458" spans="1:13" ht="15.95" customHeight="1" x14ac:dyDescent="0.3">
      <c r="A458" s="117">
        <v>445</v>
      </c>
      <c r="B458" s="117" t="str">
        <f>Stage!C483</f>
        <v>N 445</v>
      </c>
      <c r="C458" s="117">
        <f>Stage!F483</f>
        <v>195</v>
      </c>
      <c r="D458" s="117">
        <f>IF(Stage!G483="",0,LEN(TRIM(Stage!G483))-LEN(SUBSTITUTE(TRIM(Stage!G483),",",""))+1)</f>
        <v>3</v>
      </c>
      <c r="E458" s="117">
        <f>IF(ISERROR(FIND(",",Stage!H483)),VALUE(Stage!H483),(VALUE(LEFT(Stage!H483,FIND(",",Stage!H483)-1))+VALUE(TRIM(MID(Stage!H483,FIND("|",SUBSTITUTE(Stage!H483,",","|",LEN(Stage!H483)-LEN(SUBSTITUTE(Stage!H483,",",""))))+1,100))))/2)</f>
        <v>3</v>
      </c>
      <c r="F458" s="117">
        <f>IF(ISERROR(FIND(",",Stage!I483)),VALUE(Stage!I483),(VALUE(LEFT(Stage!I483,FIND(",",Stage!I483)-1))+VALUE(TRIM(MID(Stage!I483,FIND("|",SUBSTITUTE(Stage!I483,",","|",LEN(Stage!I483)-LEN(SUBSTITUTE(Stage!I483,",",""))))+1,100))))/2)</f>
        <v>0.2</v>
      </c>
      <c r="G458" s="117">
        <f>IF(ISERROR(FIND(",",Stage!J483)),VALUE(Stage!J483),VALUE(LEFT(Stage!J483,FIND(",",Stage!J483)-1)))</f>
        <v>39</v>
      </c>
      <c r="H458" s="117">
        <f>IF(Stage!K483="",0,LEN(TRIM(Stage!K483))-LEN(SUBSTITUTE(TRIM(Stage!K483),",",""))+1)</f>
        <v>4</v>
      </c>
      <c r="I458" s="117">
        <f>Stage!O483+Stage!P483+Stage!N483+Stage!Q483+Stage!M483</f>
        <v>10</v>
      </c>
      <c r="J458" s="117">
        <f>IF(Stage!F483=0,0,I458/Stage!F483)</f>
        <v>5.128205128205128E-2</v>
      </c>
      <c r="K458" s="118">
        <f t="shared" si="18"/>
        <v>48.924789816295281</v>
      </c>
      <c r="L458" s="118">
        <f t="shared" si="20"/>
        <v>44.019073427725317</v>
      </c>
      <c r="M458" s="117" t="str">
        <f t="shared" si="19"/>
        <v>어려움</v>
      </c>
    </row>
    <row r="459" spans="1:13" ht="15.95" customHeight="1" x14ac:dyDescent="0.3">
      <c r="A459" s="119">
        <v>446</v>
      </c>
      <c r="B459" s="119" t="str">
        <f>Stage!C484</f>
        <v>N 446</v>
      </c>
      <c r="C459" s="119">
        <f>Stage!F484</f>
        <v>155</v>
      </c>
      <c r="D459" s="119">
        <f>IF(Stage!G484="",0,LEN(TRIM(Stage!G484))-LEN(SUBSTITUTE(TRIM(Stage!G484),",",""))+1)</f>
        <v>3</v>
      </c>
      <c r="E459" s="119">
        <f>IF(ISERROR(FIND(",",Stage!H484)),VALUE(Stage!H484),(VALUE(LEFT(Stage!H484,FIND(",",Stage!H484)-1))+VALUE(TRIM(MID(Stage!H484,FIND("|",SUBSTITUTE(Stage!H484,",","|",LEN(Stage!H484)-LEN(SUBSTITUTE(Stage!H484,",",""))))+1,100))))/2)</f>
        <v>2.5</v>
      </c>
      <c r="F459" s="119">
        <f>IF(ISERROR(FIND(",",Stage!I484)),VALUE(Stage!I484),(VALUE(LEFT(Stage!I484,FIND(",",Stage!I484)-1))+VALUE(TRIM(MID(Stage!I484,FIND("|",SUBSTITUTE(Stage!I484,",","|",LEN(Stage!I484)-LEN(SUBSTITUTE(Stage!I484,",",""))))+1,100))))/2)</f>
        <v>0.4</v>
      </c>
      <c r="G459" s="119">
        <f>IF(ISERROR(FIND(",",Stage!J484)),VALUE(Stage!J484),VALUE(LEFT(Stage!J484,FIND(",",Stage!J484)-1)))</f>
        <v>31</v>
      </c>
      <c r="H459" s="119">
        <f>IF(Stage!K484="",0,LEN(TRIM(Stage!K484))-LEN(SUBSTITUTE(TRIM(Stage!K484),",",""))+1)</f>
        <v>4</v>
      </c>
      <c r="I459" s="119">
        <f>Stage!O484+Stage!P484+Stage!N484+Stage!Q484+Stage!M484</f>
        <v>1</v>
      </c>
      <c r="J459" s="119">
        <f>IF(Stage!F484=0,0,I459/Stage!F484)</f>
        <v>6.4516129032258064E-3</v>
      </c>
      <c r="K459" s="120">
        <f t="shared" si="18"/>
        <v>39.209846015510841</v>
      </c>
      <c r="L459" s="120">
        <f t="shared" si="20"/>
        <v>43.420783548274798</v>
      </c>
      <c r="M459" s="119" t="str">
        <f t="shared" si="19"/>
        <v>보통</v>
      </c>
    </row>
    <row r="460" spans="1:13" ht="15.95" customHeight="1" x14ac:dyDescent="0.3">
      <c r="A460" s="117">
        <v>447</v>
      </c>
      <c r="B460" s="117" t="str">
        <f>Stage!C485</f>
        <v>N 447</v>
      </c>
      <c r="C460" s="117">
        <f>Stage!F485</f>
        <v>175</v>
      </c>
      <c r="D460" s="117">
        <f>IF(Stage!G485="",0,LEN(TRIM(Stage!G485))-LEN(SUBSTITUTE(TRIM(Stage!G485),",",""))+1)</f>
        <v>3</v>
      </c>
      <c r="E460" s="117">
        <f>IF(ISERROR(FIND(",",Stage!H485)),VALUE(Stage!H485),(VALUE(LEFT(Stage!H485,FIND(",",Stage!H485)-1))+VALUE(TRIM(MID(Stage!H485,FIND("|",SUBSTITUTE(Stage!H485,",","|",LEN(Stage!H485)-LEN(SUBSTITUTE(Stage!H485,",",""))))+1,100))))/2)</f>
        <v>3</v>
      </c>
      <c r="F460" s="117">
        <f>IF(ISERROR(FIND(",",Stage!I485)),VALUE(Stage!I485),(VALUE(LEFT(Stage!I485,FIND(",",Stage!I485)-1))+VALUE(TRIM(MID(Stage!I485,FIND("|",SUBSTITUTE(Stage!I485,",","|",LEN(Stage!I485)-LEN(SUBSTITUTE(Stage!I485,",",""))))+1,100))))/2)</f>
        <v>0.3</v>
      </c>
      <c r="G460" s="117">
        <f>IF(ISERROR(FIND(",",Stage!J485)),VALUE(Stage!J485),VALUE(LEFT(Stage!J485,FIND(",",Stage!J485)-1)))</f>
        <v>35</v>
      </c>
      <c r="H460" s="117">
        <f>IF(Stage!K485="",0,LEN(TRIM(Stage!K485))-LEN(SUBSTITUTE(TRIM(Stage!K485),",",""))+1)</f>
        <v>4</v>
      </c>
      <c r="I460" s="117">
        <f>Stage!O485+Stage!P485+Stage!N485+Stage!Q485+Stage!M485</f>
        <v>5</v>
      </c>
      <c r="J460" s="117">
        <f>IF(Stage!F485=0,0,I460/Stage!F485)</f>
        <v>2.8571428571428571E-2</v>
      </c>
      <c r="K460" s="118">
        <f t="shared" si="18"/>
        <v>45.073491128999954</v>
      </c>
      <c r="L460" s="118">
        <f t="shared" si="20"/>
        <v>43.458723927678591</v>
      </c>
      <c r="M460" s="117" t="str">
        <f t="shared" si="19"/>
        <v>어려움</v>
      </c>
    </row>
    <row r="461" spans="1:13" ht="15.95" customHeight="1" x14ac:dyDescent="0.3">
      <c r="A461" s="119">
        <v>448</v>
      </c>
      <c r="B461" s="119" t="str">
        <f>Stage!C486</f>
        <v>N 448</v>
      </c>
      <c r="C461" s="119">
        <f>Stage!F486</f>
        <v>150</v>
      </c>
      <c r="D461" s="119">
        <f>IF(Stage!G486="",0,LEN(TRIM(Stage!G486))-LEN(SUBSTITUTE(TRIM(Stage!G486),",",""))+1)</f>
        <v>3</v>
      </c>
      <c r="E461" s="119">
        <f>IF(ISERROR(FIND(",",Stage!H486)),VALUE(Stage!H486),(VALUE(LEFT(Stage!H486,FIND(",",Stage!H486)-1))+VALUE(TRIM(MID(Stage!H486,FIND("|",SUBSTITUTE(Stage!H486,",","|",LEN(Stage!H486)-LEN(SUBSTITUTE(Stage!H486,",",""))))+1,100))))/2)</f>
        <v>2.5</v>
      </c>
      <c r="F461" s="119">
        <f>IF(ISERROR(FIND(",",Stage!I486)),VALUE(Stage!I486),(VALUE(LEFT(Stage!I486,FIND(",",Stage!I486)-1))+VALUE(TRIM(MID(Stage!I486,FIND("|",SUBSTITUTE(Stage!I486,",","|",LEN(Stage!I486)-LEN(SUBSTITUTE(Stage!I486,",",""))))+1,100))))/2)</f>
        <v>0.4</v>
      </c>
      <c r="G461" s="119">
        <f>IF(ISERROR(FIND(",",Stage!J486)),VALUE(Stage!J486),VALUE(LEFT(Stage!J486,FIND(",",Stage!J486)-1)))</f>
        <v>37</v>
      </c>
      <c r="H461" s="119">
        <f>IF(Stage!K486="",0,LEN(TRIM(Stage!K486))-LEN(SUBSTITUTE(TRIM(Stage!K486),",",""))+1)</f>
        <v>3</v>
      </c>
      <c r="I461" s="119">
        <f>Stage!O486+Stage!P486+Stage!N486+Stage!Q486+Stage!M486</f>
        <v>1</v>
      </c>
      <c r="J461" s="119">
        <f>IF(Stage!F486=0,0,I461/Stage!F486)</f>
        <v>6.6666666666666671E-3</v>
      </c>
      <c r="K461" s="120">
        <f t="shared" si="18"/>
        <v>36.845448355961388</v>
      </c>
      <c r="L461" s="120">
        <f t="shared" si="20"/>
        <v>43.311948890194863</v>
      </c>
      <c r="M461" s="119" t="str">
        <f t="shared" si="19"/>
        <v>보통</v>
      </c>
    </row>
    <row r="462" spans="1:13" ht="15.95" customHeight="1" x14ac:dyDescent="0.3">
      <c r="A462" s="117">
        <v>449</v>
      </c>
      <c r="B462" s="117" t="str">
        <f>Stage!C487</f>
        <v>N 449</v>
      </c>
      <c r="C462" s="117">
        <f>Stage!F487</f>
        <v>180</v>
      </c>
      <c r="D462" s="117">
        <f>IF(Stage!G487="",0,LEN(TRIM(Stage!G487))-LEN(SUBSTITUTE(TRIM(Stage!G487),",",""))+1)</f>
        <v>3</v>
      </c>
      <c r="E462" s="117">
        <f>IF(ISERROR(FIND(",",Stage!H487)),VALUE(Stage!H487),(VALUE(LEFT(Stage!H487,FIND(",",Stage!H487)-1))+VALUE(TRIM(MID(Stage!H487,FIND("|",SUBSTITUTE(Stage!H487,",","|",LEN(Stage!H487)-LEN(SUBSTITUTE(Stage!H487,",",""))))+1,100))))/2)</f>
        <v>3</v>
      </c>
      <c r="F462" s="117">
        <f>IF(ISERROR(FIND(",",Stage!I487)),VALUE(Stage!I487),(VALUE(LEFT(Stage!I487,FIND(",",Stage!I487)-1))+VALUE(TRIM(MID(Stage!I487,FIND("|",SUBSTITUTE(Stage!I487,",","|",LEN(Stage!I487)-LEN(SUBSTITUTE(Stage!I487,",",""))))+1,100))))/2)</f>
        <v>0.2</v>
      </c>
      <c r="G462" s="117">
        <f>IF(ISERROR(FIND(",",Stage!J487)),VALUE(Stage!J487),VALUE(LEFT(Stage!J487,FIND(",",Stage!J487)-1)))</f>
        <v>36</v>
      </c>
      <c r="H462" s="117">
        <f>IF(Stage!K487="",0,LEN(TRIM(Stage!K487))-LEN(SUBSTITUTE(TRIM(Stage!K487),",",""))+1)</f>
        <v>4</v>
      </c>
      <c r="I462" s="117">
        <f>Stage!O487+Stage!P487+Stage!N487+Stage!Q487+Stage!M487</f>
        <v>7</v>
      </c>
      <c r="J462" s="117">
        <f>IF(Stage!F487=0,0,I462/Stage!F487)</f>
        <v>3.888888888888889E-2</v>
      </c>
      <c r="K462" s="118">
        <f t="shared" ref="K462:K525" si="21">(MAX(0,MIN(1,(C462-$E$3)/MAX($F$3-$E$3,0.0001)))*$C$3+MAX(0,MIN(1,(D462-$E$4)/MAX($F$4-$E$4,0.0001)))*$C$4+MAX(0,MIN(1,(E462-$E$5)/MAX($F$5-$E$5,0.0001)))*$C$5+(1-MAX(0,MIN(1,(F462-$E$6)/MAX($F$6-$E$6,0.0001))))*$C$6+(1-MAX(0,MIN(1,(G462-$E$7)/MAX($F$7-$E$7,0.0001))))*$C$7+MAX(0,MIN(1,(H462-$E$8)/MAX($F$8-$E$8,0.0001)))*$C$8+MAX(0,MIN(1,(J462-$E$9)/MAX($F$9-$E$9,0.0001)))*$C$9)/$C$10*100</f>
        <v>47.240044321625483</v>
      </c>
      <c r="L462" s="118">
        <f t="shared" si="20"/>
        <v>42.625332324362908</v>
      </c>
      <c r="M462" s="117" t="str">
        <f t="shared" ref="M462:M513" si="22">IF(K462&lt;25,"쉬움",IF(K462&lt;45,"보통",IF(K462&lt;60,"어려움",IF(K462&lt;75,"매우어려움","극악"))))</f>
        <v>어려움</v>
      </c>
    </row>
    <row r="463" spans="1:13" ht="15.95" customHeight="1" x14ac:dyDescent="0.3">
      <c r="A463" s="119">
        <v>450</v>
      </c>
      <c r="B463" s="119" t="str">
        <f>Stage!C488</f>
        <v>N 450</v>
      </c>
      <c r="C463" s="119">
        <f>Stage!F488</f>
        <v>190</v>
      </c>
      <c r="D463" s="119">
        <f>IF(Stage!G488="",0,LEN(TRIM(Stage!G488))-LEN(SUBSTITUTE(TRIM(Stage!G488),",",""))+1)</f>
        <v>3</v>
      </c>
      <c r="E463" s="119">
        <f>IF(ISERROR(FIND(",",Stage!H488)),VALUE(Stage!H488),(VALUE(LEFT(Stage!H488,FIND(",",Stage!H488)-1))+VALUE(TRIM(MID(Stage!H488,FIND("|",SUBSTITUTE(Stage!H488,",","|",LEN(Stage!H488)-LEN(SUBSTITUTE(Stage!H488,",",""))))+1,100))))/2)</f>
        <v>3</v>
      </c>
      <c r="F463" s="119">
        <f>IF(ISERROR(FIND(",",Stage!I488)),VALUE(Stage!I488),(VALUE(LEFT(Stage!I488,FIND(",",Stage!I488)-1))+VALUE(TRIM(MID(Stage!I488,FIND("|",SUBSTITUTE(Stage!I488,",","|",LEN(Stage!I488)-LEN(SUBSTITUTE(Stage!I488,",",""))))+1,100))))/2)</f>
        <v>0.2</v>
      </c>
      <c r="G463" s="119">
        <f>IF(ISERROR(FIND(",",Stage!J488)),VALUE(Stage!J488),VALUE(LEFT(Stage!J488,FIND(",",Stage!J488)-1)))</f>
        <v>38</v>
      </c>
      <c r="H463" s="119">
        <f>IF(Stage!K488="",0,LEN(TRIM(Stage!K488))-LEN(SUBSTITUTE(TRIM(Stage!K488),",",""))+1)</f>
        <v>4</v>
      </c>
      <c r="I463" s="119">
        <f>Stage!O488+Stage!P488+Stage!N488+Stage!Q488+Stage!M488</f>
        <v>8</v>
      </c>
      <c r="J463" s="119">
        <f>IF(Stage!F488=0,0,I463/Stage!F488)</f>
        <v>4.2105263157894736E-2</v>
      </c>
      <c r="K463" s="120">
        <f t="shared" si="21"/>
        <v>48.190914628876648</v>
      </c>
      <c r="L463" s="120">
        <f t="shared" si="20"/>
        <v>41.578013649205715</v>
      </c>
      <c r="M463" s="119" t="str">
        <f t="shared" si="22"/>
        <v>어려움</v>
      </c>
    </row>
    <row r="464" spans="1:13" ht="15.95" customHeight="1" x14ac:dyDescent="0.3">
      <c r="A464" s="117">
        <v>451</v>
      </c>
      <c r="B464" s="117" t="str">
        <f>Stage!C489</f>
        <v>N 451</v>
      </c>
      <c r="C464" s="117">
        <f>Stage!F489</f>
        <v>140</v>
      </c>
      <c r="D464" s="117">
        <f>IF(Stage!G489="",0,LEN(TRIM(Stage!G489))-LEN(SUBSTITUTE(TRIM(Stage!G489),",",""))+1)</f>
        <v>3</v>
      </c>
      <c r="E464" s="117">
        <f>IF(ISERROR(FIND(",",Stage!H489)),VALUE(Stage!H489),(VALUE(LEFT(Stage!H489,FIND(",",Stage!H489)-1))+VALUE(TRIM(MID(Stage!H489,FIND("|",SUBSTITUTE(Stage!H489,",","|",LEN(Stage!H489)-LEN(SUBSTITUTE(Stage!H489,",",""))))+1,100))))/2)</f>
        <v>2.5</v>
      </c>
      <c r="F464" s="117">
        <f>IF(ISERROR(FIND(",",Stage!I489)),VALUE(Stage!I489),(VALUE(LEFT(Stage!I489,FIND(",",Stage!I489)-1))+VALUE(TRIM(MID(Stage!I489,FIND("|",SUBSTITUTE(Stage!I489,",","|",LEN(Stage!I489)-LEN(SUBSTITUTE(Stage!I489,",",""))))+1,100))))/2)</f>
        <v>0.4</v>
      </c>
      <c r="G464" s="117">
        <f>IF(ISERROR(FIND(",",Stage!J489)),VALUE(Stage!J489),VALUE(LEFT(Stage!J489,FIND(",",Stage!J489)-1)))</f>
        <v>35</v>
      </c>
      <c r="H464" s="117">
        <f>IF(Stage!K489="",0,LEN(TRIM(Stage!K489))-LEN(SUBSTITUTE(TRIM(Stage!K489),",",""))+1)</f>
        <v>3</v>
      </c>
      <c r="I464" s="117">
        <f>Stage!O489+Stage!P489+Stage!N489+Stage!Q489+Stage!M489</f>
        <v>0</v>
      </c>
      <c r="J464" s="117">
        <f>IF(Stage!F489=0,0,I464/Stage!F489)</f>
        <v>0</v>
      </c>
      <c r="K464" s="118">
        <f t="shared" si="21"/>
        <v>35.776763186351076</v>
      </c>
      <c r="L464" s="118">
        <f t="shared" ref="L464:L527" si="23">AVERAGE(K462:K466)</f>
        <v>42.497732100084804</v>
      </c>
      <c r="M464" s="117" t="str">
        <f t="shared" si="22"/>
        <v>보통</v>
      </c>
    </row>
    <row r="465" spans="1:13" ht="15.95" customHeight="1" x14ac:dyDescent="0.3">
      <c r="A465" s="119">
        <v>452</v>
      </c>
      <c r="B465" s="119" t="str">
        <f>Stage!C490</f>
        <v>N 452</v>
      </c>
      <c r="C465" s="119">
        <f>Stage!F490</f>
        <v>160</v>
      </c>
      <c r="D465" s="119">
        <f>IF(Stage!G490="",0,LEN(TRIM(Stage!G490))-LEN(SUBSTITUTE(TRIM(Stage!G490),",",""))+1)</f>
        <v>3</v>
      </c>
      <c r="E465" s="119">
        <f>IF(ISERROR(FIND(",",Stage!H490)),VALUE(Stage!H490),(VALUE(LEFT(Stage!H490,FIND(",",Stage!H490)-1))+VALUE(TRIM(MID(Stage!H490,FIND("|",SUBSTITUTE(Stage!H490,",","|",LEN(Stage!H490)-LEN(SUBSTITUTE(Stage!H490,",",""))))+1,100))))/2)</f>
        <v>2.5</v>
      </c>
      <c r="F465" s="119">
        <f>IF(ISERROR(FIND(",",Stage!I490)),VALUE(Stage!I490),(VALUE(LEFT(Stage!I490,FIND(",",Stage!I490)-1))+VALUE(TRIM(MID(Stage!I490,FIND("|",SUBSTITUTE(Stage!I490,",","|",LEN(Stage!I490)-LEN(SUBSTITUTE(Stage!I490,",",""))))+1,100))))/2)</f>
        <v>0.4</v>
      </c>
      <c r="G465" s="119">
        <f>IF(ISERROR(FIND(",",Stage!J490)),VALUE(Stage!J490),VALUE(LEFT(Stage!J490,FIND(",",Stage!J490)-1)))</f>
        <v>32</v>
      </c>
      <c r="H465" s="119">
        <f>IF(Stage!K490="",0,LEN(TRIM(Stage!K490))-LEN(SUBSTITUTE(TRIM(Stage!K490),",",""))+1)</f>
        <v>4</v>
      </c>
      <c r="I465" s="119">
        <f>Stage!O490+Stage!P490+Stage!N490+Stage!Q490+Stage!M490</f>
        <v>2</v>
      </c>
      <c r="J465" s="119">
        <f>IF(Stage!F490=0,0,I465/Stage!F490)</f>
        <v>1.2500000000000001E-2</v>
      </c>
      <c r="K465" s="120">
        <f t="shared" si="21"/>
        <v>39.836897753213982</v>
      </c>
      <c r="L465" s="120">
        <f t="shared" si="23"/>
        <v>41.945883886731615</v>
      </c>
      <c r="M465" s="119" t="str">
        <f t="shared" si="22"/>
        <v>보통</v>
      </c>
    </row>
    <row r="466" spans="1:13" ht="15.95" customHeight="1" x14ac:dyDescent="0.3">
      <c r="A466" s="117">
        <v>453</v>
      </c>
      <c r="B466" s="117" t="str">
        <f>Stage!C491</f>
        <v>N 453</v>
      </c>
      <c r="C466" s="117">
        <f>Stage!F491</f>
        <v>160</v>
      </c>
      <c r="D466" s="117">
        <f>IF(Stage!G491="",0,LEN(TRIM(Stage!G491))-LEN(SUBSTITUTE(TRIM(Stage!G491),",",""))+1)</f>
        <v>3</v>
      </c>
      <c r="E466" s="117">
        <f>IF(ISERROR(FIND(",",Stage!H491)),VALUE(Stage!H491),(VALUE(LEFT(Stage!H491,FIND(",",Stage!H491)-1))+VALUE(TRIM(MID(Stage!H491,FIND("|",SUBSTITUTE(Stage!H491,",","|",LEN(Stage!H491)-LEN(SUBSTITUTE(Stage!H491,",",""))))+1,100))))/2)</f>
        <v>2.5</v>
      </c>
      <c r="F466" s="117">
        <f>IF(ISERROR(FIND(",",Stage!I491)),VALUE(Stage!I491),(VALUE(LEFT(Stage!I491,FIND(",",Stage!I491)-1))+VALUE(TRIM(MID(Stage!I491,FIND("|",SUBSTITUTE(Stage!I491,",","|",LEN(Stage!I491)-LEN(SUBSTITUTE(Stage!I491,",",""))))+1,100))))/2)</f>
        <v>0.3</v>
      </c>
      <c r="G466" s="117">
        <f>IF(ISERROR(FIND(",",Stage!J491)),VALUE(Stage!J491),VALUE(LEFT(Stage!J491,FIND(",",Stage!J491)-1)))</f>
        <v>32</v>
      </c>
      <c r="H466" s="117">
        <f>IF(Stage!K491="",0,LEN(TRIM(Stage!K491))-LEN(SUBSTITUTE(TRIM(Stage!K491),",",""))+1)</f>
        <v>4</v>
      </c>
      <c r="I466" s="117">
        <f>Stage!O491+Stage!P491+Stage!N491+Stage!Q491+Stage!M491</f>
        <v>3</v>
      </c>
      <c r="J466" s="117">
        <f>IF(Stage!F491=0,0,I466/Stage!F491)</f>
        <v>1.8749999999999999E-2</v>
      </c>
      <c r="K466" s="118">
        <f t="shared" si="21"/>
        <v>41.444040610356844</v>
      </c>
      <c r="L466" s="118">
        <f t="shared" si="23"/>
        <v>39.547157887545254</v>
      </c>
      <c r="M466" s="117" t="str">
        <f t="shared" si="22"/>
        <v>보통</v>
      </c>
    </row>
    <row r="467" spans="1:13" ht="15.95" customHeight="1" x14ac:dyDescent="0.3">
      <c r="A467" s="119">
        <v>454</v>
      </c>
      <c r="B467" s="119" t="str">
        <f>Stage!C492</f>
        <v>N 454</v>
      </c>
      <c r="C467" s="119">
        <f>Stage!F492</f>
        <v>170</v>
      </c>
      <c r="D467" s="119">
        <f>IF(Stage!G492="",0,LEN(TRIM(Stage!G492))-LEN(SUBSTITUTE(TRIM(Stage!G492),",",""))+1)</f>
        <v>3</v>
      </c>
      <c r="E467" s="119">
        <f>IF(ISERROR(FIND(",",Stage!H492)),VALUE(Stage!H492),(VALUE(LEFT(Stage!H492,FIND(",",Stage!H492)-1))+VALUE(TRIM(MID(Stage!H492,FIND("|",SUBSTITUTE(Stage!H492,",","|",LEN(Stage!H492)-LEN(SUBSTITUTE(Stage!H492,",",""))))+1,100))))/2)</f>
        <v>3</v>
      </c>
      <c r="F467" s="119">
        <f>IF(ISERROR(FIND(",",Stage!I492)),VALUE(Stage!I492),(VALUE(LEFT(Stage!I492,FIND(",",Stage!I492)-1))+VALUE(TRIM(MID(Stage!I492,FIND("|",SUBSTITUTE(Stage!I492,",","|",LEN(Stage!I492)-LEN(SUBSTITUTE(Stage!I492,",",""))))+1,100))))/2)</f>
        <v>0.3</v>
      </c>
      <c r="G467" s="119">
        <f>IF(ISERROR(FIND(",",Stage!J492)),VALUE(Stage!J492),VALUE(LEFT(Stage!J492,FIND(",",Stage!J492)-1)))</f>
        <v>34</v>
      </c>
      <c r="H467" s="119">
        <f>IF(Stage!K492="",0,LEN(TRIM(Stage!K492))-LEN(SUBSTITUTE(TRIM(Stage!K492),",",""))+1)</f>
        <v>4</v>
      </c>
      <c r="I467" s="119">
        <f>Stage!O492+Stage!P492+Stage!N492+Stage!Q492+Stage!M492</f>
        <v>4</v>
      </c>
      <c r="J467" s="119">
        <f>IF(Stage!F492=0,0,I467/Stage!F492)</f>
        <v>2.3529411764705882E-2</v>
      </c>
      <c r="K467" s="120">
        <f t="shared" si="21"/>
        <v>44.480803254859552</v>
      </c>
      <c r="L467" s="120">
        <f t="shared" si="23"/>
        <v>37.803395622336403</v>
      </c>
      <c r="M467" s="119" t="str">
        <f t="shared" si="22"/>
        <v>보통</v>
      </c>
    </row>
    <row r="468" spans="1:13" ht="15.95" customHeight="1" x14ac:dyDescent="0.3">
      <c r="A468" s="117">
        <v>455</v>
      </c>
      <c r="B468" s="117" t="str">
        <f>Stage!C493</f>
        <v>N 455</v>
      </c>
      <c r="C468" s="117">
        <f>Stage!F493</f>
        <v>145</v>
      </c>
      <c r="D468" s="117">
        <f>IF(Stage!G493="",0,LEN(TRIM(Stage!G493))-LEN(SUBSTITUTE(TRIM(Stage!G493),",",""))+1)</f>
        <v>3</v>
      </c>
      <c r="E468" s="117">
        <f>IF(ISERROR(FIND(",",Stage!H493)),VALUE(Stage!H493),(VALUE(LEFT(Stage!H493,FIND(",",Stage!H493)-1))+VALUE(TRIM(MID(Stage!H493,FIND("|",SUBSTITUTE(Stage!H493,",","|",LEN(Stage!H493)-LEN(SUBSTITUTE(Stage!H493,",",""))))+1,100))))/2)</f>
        <v>2.5</v>
      </c>
      <c r="F468" s="117">
        <f>IF(ISERROR(FIND(",",Stage!I493)),VALUE(Stage!I493),(VALUE(LEFT(Stage!I493,FIND(",",Stage!I493)-1))+VALUE(TRIM(MID(Stage!I493,FIND("|",SUBSTITUTE(Stage!I493,",","|",LEN(Stage!I493)-LEN(SUBSTITUTE(Stage!I493,",",""))))+1,100))))/2)</f>
        <v>0.4</v>
      </c>
      <c r="G468" s="117">
        <f>IF(ISERROR(FIND(",",Stage!J493)),VALUE(Stage!J493),VALUE(LEFT(Stage!J493,FIND(",",Stage!J493)-1)))</f>
        <v>36</v>
      </c>
      <c r="H468" s="117">
        <f>IF(Stage!K493="",0,LEN(TRIM(Stage!K493))-LEN(SUBSTITUTE(TRIM(Stage!K493),",",""))+1)</f>
        <v>3</v>
      </c>
      <c r="I468" s="117">
        <f>Stage!O493+Stage!P493+Stage!N493+Stage!Q493+Stage!M493</f>
        <v>0</v>
      </c>
      <c r="J468" s="117">
        <f>IF(Stage!F493=0,0,I468/Stage!F493)</f>
        <v>0</v>
      </c>
      <c r="K468" s="118">
        <f t="shared" si="21"/>
        <v>36.19728463294485</v>
      </c>
      <c r="L468" s="118">
        <f t="shared" si="23"/>
        <v>36.991368708963819</v>
      </c>
      <c r="M468" s="117" t="str">
        <f t="shared" si="22"/>
        <v>보통</v>
      </c>
    </row>
    <row r="469" spans="1:13" ht="15.95" customHeight="1" x14ac:dyDescent="0.3">
      <c r="A469" s="119">
        <v>456</v>
      </c>
      <c r="B469" s="119" t="str">
        <f>Stage!C494</f>
        <v>N 456</v>
      </c>
      <c r="C469" s="119">
        <f>Stage!F494</f>
        <v>75</v>
      </c>
      <c r="D469" s="119">
        <f>IF(Stage!G494="",0,LEN(TRIM(Stage!G494))-LEN(SUBSTITUTE(TRIM(Stage!G494),",",""))+1)</f>
        <v>2</v>
      </c>
      <c r="E469" s="119">
        <f>IF(ISERROR(FIND(",",Stage!H494)),VALUE(Stage!H494),(VALUE(LEFT(Stage!H494,FIND(",",Stage!H494)-1))+VALUE(TRIM(MID(Stage!H494,FIND("|",SUBSTITUTE(Stage!H494,",","|",LEN(Stage!H494)-LEN(SUBSTITUTE(Stage!H494,",",""))))+1,100))))/2)</f>
        <v>2</v>
      </c>
      <c r="F469" s="119">
        <f>IF(ISERROR(FIND(",",Stage!I494)),VALUE(Stage!I494),(VALUE(LEFT(Stage!I494,FIND(",",Stage!I494)-1))+VALUE(TRIM(MID(Stage!I494,FIND("|",SUBSTITUTE(Stage!I494,",","|",LEN(Stage!I494)-LEN(SUBSTITUTE(Stage!I494,",",""))))+1,100))))/2)</f>
        <v>0.6</v>
      </c>
      <c r="G469" s="119">
        <f>IF(ISERROR(FIND(",",Stage!J494)),VALUE(Stage!J494),VALUE(LEFT(Stage!J494,FIND(",",Stage!J494)-1)))</f>
        <v>18</v>
      </c>
      <c r="H469" s="119">
        <f>IF(Stage!K494="",0,LEN(TRIM(Stage!K494))-LEN(SUBSTITUTE(TRIM(Stage!K494),",",""))+1)</f>
        <v>3</v>
      </c>
      <c r="I469" s="119">
        <f>Stage!O494+Stage!P494+Stage!N494+Stage!Q494+Stage!M494</f>
        <v>0</v>
      </c>
      <c r="J469" s="119">
        <f>IF(Stage!F494=0,0,I469/Stage!F494)</f>
        <v>0</v>
      </c>
      <c r="K469" s="120">
        <f t="shared" si="21"/>
        <v>27.057951860306783</v>
      </c>
      <c r="L469" s="120">
        <f t="shared" si="23"/>
        <v>38.150569451217549</v>
      </c>
      <c r="M469" s="119" t="str">
        <f t="shared" si="22"/>
        <v>보통</v>
      </c>
    </row>
    <row r="470" spans="1:13" ht="15.95" customHeight="1" x14ac:dyDescent="0.3">
      <c r="A470" s="117">
        <v>457</v>
      </c>
      <c r="B470" s="117" t="str">
        <f>Stage!C495</f>
        <v>N 457</v>
      </c>
      <c r="C470" s="117">
        <f>Stage!F495</f>
        <v>140</v>
      </c>
      <c r="D470" s="117">
        <f>IF(Stage!G495="",0,LEN(TRIM(Stage!G495))-LEN(SUBSTITUTE(TRIM(Stage!G495),",",""))+1)</f>
        <v>3</v>
      </c>
      <c r="E470" s="117">
        <f>IF(ISERROR(FIND(",",Stage!H495)),VALUE(Stage!H495),(VALUE(LEFT(Stage!H495,FIND(",",Stage!H495)-1))+VALUE(TRIM(MID(Stage!H495,FIND("|",SUBSTITUTE(Stage!H495,",","|",LEN(Stage!H495)-LEN(SUBSTITUTE(Stage!H495,",",""))))+1,100))))/2)</f>
        <v>2.5</v>
      </c>
      <c r="F470" s="117">
        <f>IF(ISERROR(FIND(",",Stage!I495)),VALUE(Stage!I495),(VALUE(LEFT(Stage!I495,FIND(",",Stage!I495)-1))+VALUE(TRIM(MID(Stage!I495,FIND("|",SUBSTITUTE(Stage!I495,",","|",LEN(Stage!I495)-LEN(SUBSTITUTE(Stage!I495,",",""))))+1,100))))/2)</f>
        <v>0.4</v>
      </c>
      <c r="G470" s="117">
        <f>IF(ISERROR(FIND(",",Stage!J495)),VALUE(Stage!J495),VALUE(LEFT(Stage!J495,FIND(",",Stage!J495)-1)))</f>
        <v>35</v>
      </c>
      <c r="H470" s="117">
        <f>IF(Stage!K495="",0,LEN(TRIM(Stage!K495))-LEN(SUBSTITUTE(TRIM(Stage!K495),",",""))+1)</f>
        <v>3</v>
      </c>
      <c r="I470" s="117">
        <f>Stage!O495+Stage!P495+Stage!N495+Stage!Q495+Stage!M495</f>
        <v>0</v>
      </c>
      <c r="J470" s="117">
        <f>IF(Stage!F495=0,0,I470/Stage!F495)</f>
        <v>0</v>
      </c>
      <c r="K470" s="118">
        <f t="shared" si="21"/>
        <v>35.776763186351076</v>
      </c>
      <c r="L470" s="118">
        <f t="shared" si="23"/>
        <v>36.493865726834606</v>
      </c>
      <c r="M470" s="117" t="str">
        <f t="shared" si="22"/>
        <v>보통</v>
      </c>
    </row>
    <row r="471" spans="1:13" ht="15.95" customHeight="1" x14ac:dyDescent="0.3">
      <c r="A471" s="119">
        <v>458</v>
      </c>
      <c r="B471" s="119" t="str">
        <f>Stage!C496</f>
        <v>N 458</v>
      </c>
      <c r="C471" s="119">
        <f>Stage!F496</f>
        <v>180</v>
      </c>
      <c r="D471" s="119">
        <f>IF(Stage!G496="",0,LEN(TRIM(Stage!G496))-LEN(SUBSTITUTE(TRIM(Stage!G496),",",""))+1)</f>
        <v>3</v>
      </c>
      <c r="E471" s="119">
        <f>IF(ISERROR(FIND(",",Stage!H496)),VALUE(Stage!H496),(VALUE(LEFT(Stage!H496,FIND(",",Stage!H496)-1))+VALUE(TRIM(MID(Stage!H496,FIND("|",SUBSTITUTE(Stage!H496,",","|",LEN(Stage!H496)-LEN(SUBSTITUTE(Stage!H496,",",""))))+1,100))))/2)</f>
        <v>3</v>
      </c>
      <c r="F471" s="119">
        <f>IF(ISERROR(FIND(",",Stage!I496)),VALUE(Stage!I496),(VALUE(LEFT(Stage!I496,FIND(",",Stage!I496)-1))+VALUE(TRIM(MID(Stage!I496,FIND("|",SUBSTITUTE(Stage!I496,",","|",LEN(Stage!I496)-LEN(SUBSTITUTE(Stage!I496,",",""))))+1,100))))/2)</f>
        <v>0.2</v>
      </c>
      <c r="G471" s="119">
        <f>IF(ISERROR(FIND(",",Stage!J496)),VALUE(Stage!J496),VALUE(LEFT(Stage!J496,FIND(",",Stage!J496)-1)))</f>
        <v>36</v>
      </c>
      <c r="H471" s="119">
        <f>IF(Stage!K496="",0,LEN(TRIM(Stage!K496))-LEN(SUBSTITUTE(TRIM(Stage!K496),",",""))+1)</f>
        <v>4</v>
      </c>
      <c r="I471" s="119">
        <f>Stage!O496+Stage!P496+Stage!N496+Stage!Q496+Stage!M496</f>
        <v>7</v>
      </c>
      <c r="J471" s="119">
        <f>IF(Stage!F496=0,0,I471/Stage!F496)</f>
        <v>3.888888888888889E-2</v>
      </c>
      <c r="K471" s="120">
        <f t="shared" si="21"/>
        <v>47.240044321625483</v>
      </c>
      <c r="L471" s="120">
        <f t="shared" si="23"/>
        <v>38.385731640567634</v>
      </c>
      <c r="M471" s="119" t="str">
        <f t="shared" si="22"/>
        <v>어려움</v>
      </c>
    </row>
    <row r="472" spans="1:13" ht="15.95" customHeight="1" x14ac:dyDescent="0.3">
      <c r="A472" s="117">
        <v>459</v>
      </c>
      <c r="B472" s="117" t="str">
        <f>Stage!C497</f>
        <v>N 459</v>
      </c>
      <c r="C472" s="117">
        <f>Stage!F497</f>
        <v>145</v>
      </c>
      <c r="D472" s="117">
        <f>IF(Stage!G497="",0,LEN(TRIM(Stage!G497))-LEN(SUBSTITUTE(TRIM(Stage!G497),",",""))+1)</f>
        <v>3</v>
      </c>
      <c r="E472" s="117">
        <f>IF(ISERROR(FIND(",",Stage!H497)),VALUE(Stage!H497),(VALUE(LEFT(Stage!H497,FIND(",",Stage!H497)-1))+VALUE(TRIM(MID(Stage!H497,FIND("|",SUBSTITUTE(Stage!H497,",","|",LEN(Stage!H497)-LEN(SUBSTITUTE(Stage!H497,",",""))))+1,100))))/2)</f>
        <v>2.5</v>
      </c>
      <c r="F472" s="117">
        <f>IF(ISERROR(FIND(",",Stage!I497)),VALUE(Stage!I497),(VALUE(LEFT(Stage!I497,FIND(",",Stage!I497)-1))+VALUE(TRIM(MID(Stage!I497,FIND("|",SUBSTITUTE(Stage!I497,",","|",LEN(Stage!I497)-LEN(SUBSTITUTE(Stage!I497,",",""))))+1,100))))/2)</f>
        <v>0.4</v>
      </c>
      <c r="G472" s="117">
        <f>IF(ISERROR(FIND(",",Stage!J497)),VALUE(Stage!J497),VALUE(LEFT(Stage!J497,FIND(",",Stage!J497)-1)))</f>
        <v>36</v>
      </c>
      <c r="H472" s="117">
        <f>IF(Stage!K497="",0,LEN(TRIM(Stage!K497))-LEN(SUBSTITUTE(TRIM(Stage!K497),",",""))+1)</f>
        <v>3</v>
      </c>
      <c r="I472" s="117">
        <f>Stage!O497+Stage!P497+Stage!N497+Stage!Q497+Stage!M497</f>
        <v>0</v>
      </c>
      <c r="J472" s="117">
        <f>IF(Stage!F497=0,0,I472/Stage!F497)</f>
        <v>0</v>
      </c>
      <c r="K472" s="118">
        <f t="shared" si="21"/>
        <v>36.19728463294485</v>
      </c>
      <c r="L472" s="118">
        <f t="shared" si="23"/>
        <v>40.733474842137575</v>
      </c>
      <c r="M472" s="117" t="str">
        <f t="shared" si="22"/>
        <v>보통</v>
      </c>
    </row>
    <row r="473" spans="1:13" ht="15.95" customHeight="1" x14ac:dyDescent="0.3">
      <c r="A473" s="119">
        <v>460</v>
      </c>
      <c r="B473" s="119" t="str">
        <f>Stage!C498</f>
        <v>N 460</v>
      </c>
      <c r="C473" s="119">
        <f>Stage!F498</f>
        <v>180</v>
      </c>
      <c r="D473" s="119">
        <f>IF(Stage!G498="",0,LEN(TRIM(Stage!G498))-LEN(SUBSTITUTE(TRIM(Stage!G498),",",""))+1)</f>
        <v>3</v>
      </c>
      <c r="E473" s="119">
        <f>IF(ISERROR(FIND(",",Stage!H498)),VALUE(Stage!H498),(VALUE(LEFT(Stage!H498,FIND(",",Stage!H498)-1))+VALUE(TRIM(MID(Stage!H498,FIND("|",SUBSTITUTE(Stage!H498,",","|",LEN(Stage!H498)-LEN(SUBSTITUTE(Stage!H498,",",""))))+1,100))))/2)</f>
        <v>3</v>
      </c>
      <c r="F473" s="119">
        <f>IF(ISERROR(FIND(",",Stage!I498)),VALUE(Stage!I498),(VALUE(LEFT(Stage!I498,FIND(",",Stage!I498)-1))+VALUE(TRIM(MID(Stage!I498,FIND("|",SUBSTITUTE(Stage!I498,",","|",LEN(Stage!I498)-LEN(SUBSTITUTE(Stage!I498,",",""))))+1,100))))/2)</f>
        <v>0.3</v>
      </c>
      <c r="G473" s="119">
        <f>IF(ISERROR(FIND(",",Stage!J498)),VALUE(Stage!J498),VALUE(LEFT(Stage!J498,FIND(",",Stage!J498)-1)))</f>
        <v>36</v>
      </c>
      <c r="H473" s="119">
        <f>IF(Stage!K498="",0,LEN(TRIM(Stage!K498))-LEN(SUBSTITUTE(TRIM(Stage!K498),",",""))+1)</f>
        <v>4</v>
      </c>
      <c r="I473" s="119">
        <f>Stage!O498+Stage!P498+Stage!N498+Stage!Q498+Stage!M498</f>
        <v>6</v>
      </c>
      <c r="J473" s="119">
        <f>IF(Stage!F498=0,0,I473/Stage!F498)</f>
        <v>3.3333333333333333E-2</v>
      </c>
      <c r="K473" s="120">
        <f t="shared" si="21"/>
        <v>45.65661420160999</v>
      </c>
      <c r="L473" s="120">
        <f t="shared" si="23"/>
        <v>41.947154350182103</v>
      </c>
      <c r="M473" s="119" t="str">
        <f t="shared" si="22"/>
        <v>어려움</v>
      </c>
    </row>
    <row r="474" spans="1:13" ht="15.95" customHeight="1" x14ac:dyDescent="0.3">
      <c r="A474" s="117">
        <v>461</v>
      </c>
      <c r="B474" s="117" t="str">
        <f>Stage!C499</f>
        <v>N 461</v>
      </c>
      <c r="C474" s="117">
        <f>Stage!F499</f>
        <v>150</v>
      </c>
      <c r="D474" s="117">
        <f>IF(Stage!G499="",0,LEN(TRIM(Stage!G499))-LEN(SUBSTITUTE(TRIM(Stage!G499),",",""))+1)</f>
        <v>3</v>
      </c>
      <c r="E474" s="117">
        <f>IF(ISERROR(FIND(",",Stage!H499)),VALUE(Stage!H499),(VALUE(LEFT(Stage!H499,FIND(",",Stage!H499)-1))+VALUE(TRIM(MID(Stage!H499,FIND("|",SUBSTITUTE(Stage!H499,",","|",LEN(Stage!H499)-LEN(SUBSTITUTE(Stage!H499,",",""))))+1,100))))/2)</f>
        <v>2.5</v>
      </c>
      <c r="F474" s="117">
        <f>IF(ISERROR(FIND(",",Stage!I499)),VALUE(Stage!I499),(VALUE(LEFT(Stage!I499,FIND(",",Stage!I499)-1))+VALUE(TRIM(MID(Stage!I499,FIND("|",SUBSTITUTE(Stage!I499,",","|",LEN(Stage!I499)-LEN(SUBSTITUTE(Stage!I499,",",""))))+1,100))))/2)</f>
        <v>0.4</v>
      </c>
      <c r="G474" s="117">
        <f>IF(ISERROR(FIND(",",Stage!J499)),VALUE(Stage!J499),VALUE(LEFT(Stage!J499,FIND(",",Stage!J499)-1)))</f>
        <v>30</v>
      </c>
      <c r="H474" s="117">
        <f>IF(Stage!K499="",0,LEN(TRIM(Stage!K499))-LEN(SUBSTITUTE(TRIM(Stage!K499),",",""))+1)</f>
        <v>4</v>
      </c>
      <c r="I474" s="117">
        <f>Stage!O499+Stage!P499+Stage!N499+Stage!Q499+Stage!M499</f>
        <v>1</v>
      </c>
      <c r="J474" s="117">
        <f>IF(Stage!F499=0,0,I474/Stage!F499)</f>
        <v>6.6666666666666671E-3</v>
      </c>
      <c r="K474" s="118">
        <f t="shared" si="21"/>
        <v>38.796667868156511</v>
      </c>
      <c r="L474" s="118">
        <f t="shared" si="23"/>
        <v>42.39359860772813</v>
      </c>
      <c r="M474" s="117" t="str">
        <f t="shared" si="22"/>
        <v>보통</v>
      </c>
    </row>
    <row r="475" spans="1:13" ht="15.95" customHeight="1" x14ac:dyDescent="0.3">
      <c r="A475" s="119">
        <v>462</v>
      </c>
      <c r="B475" s="119" t="str">
        <f>Stage!C500</f>
        <v>N 462</v>
      </c>
      <c r="C475" s="119">
        <f>Stage!F500</f>
        <v>165</v>
      </c>
      <c r="D475" s="119">
        <f>IF(Stage!G500="",0,LEN(TRIM(Stage!G500))-LEN(SUBSTITUTE(TRIM(Stage!G500),",",""))+1)</f>
        <v>3</v>
      </c>
      <c r="E475" s="119">
        <f>IF(ISERROR(FIND(",",Stage!H500)),VALUE(Stage!H500),(VALUE(LEFT(Stage!H500,FIND(",",Stage!H500)-1))+VALUE(TRIM(MID(Stage!H500,FIND("|",SUBSTITUTE(Stage!H500,",","|",LEN(Stage!H500)-LEN(SUBSTITUTE(Stage!H500,",",""))))+1,100))))/2)</f>
        <v>2.5</v>
      </c>
      <c r="F475" s="119">
        <f>IF(ISERROR(FIND(",",Stage!I500)),VALUE(Stage!I500),(VALUE(LEFT(Stage!I500,FIND(",",Stage!I500)-1))+VALUE(TRIM(MID(Stage!I500,FIND("|",SUBSTITUTE(Stage!I500,",","|",LEN(Stage!I500)-LEN(SUBSTITUTE(Stage!I500,",",""))))+1,100))))/2)</f>
        <v>0.3</v>
      </c>
      <c r="G475" s="119">
        <f>IF(ISERROR(FIND(",",Stage!J500)),VALUE(Stage!J500),VALUE(LEFT(Stage!J500,FIND(",",Stage!J500)-1)))</f>
        <v>33</v>
      </c>
      <c r="H475" s="119">
        <f>IF(Stage!K500="",0,LEN(TRIM(Stage!K500))-LEN(SUBSTITUTE(TRIM(Stage!K500),",",""))+1)</f>
        <v>4</v>
      </c>
      <c r="I475" s="119">
        <f>Stage!O500+Stage!P500+Stage!N500+Stage!Q500+Stage!M500</f>
        <v>3</v>
      </c>
      <c r="J475" s="119">
        <f>IF(Stage!F500=0,0,I475/Stage!F500)</f>
        <v>1.8181818181818181E-2</v>
      </c>
      <c r="K475" s="120">
        <f t="shared" si="21"/>
        <v>41.845160726573674</v>
      </c>
      <c r="L475" s="120">
        <f t="shared" si="23"/>
        <v>44.564210166060455</v>
      </c>
      <c r="M475" s="119" t="str">
        <f t="shared" si="22"/>
        <v>보통</v>
      </c>
    </row>
    <row r="476" spans="1:13" ht="15.95" customHeight="1" x14ac:dyDescent="0.3">
      <c r="A476" s="117">
        <v>463</v>
      </c>
      <c r="B476" s="117" t="str">
        <f>Stage!C501</f>
        <v>N 463</v>
      </c>
      <c r="C476" s="117">
        <f>Stage!F501</f>
        <v>200</v>
      </c>
      <c r="D476" s="117">
        <f>IF(Stage!G501="",0,LEN(TRIM(Stage!G501))-LEN(SUBSTITUTE(TRIM(Stage!G501),",",""))+1)</f>
        <v>3</v>
      </c>
      <c r="E476" s="117">
        <f>IF(ISERROR(FIND(",",Stage!H501)),VALUE(Stage!H501),(VALUE(LEFT(Stage!H501,FIND(",",Stage!H501)-1))+VALUE(TRIM(MID(Stage!H501,FIND("|",SUBSTITUTE(Stage!H501,",","|",LEN(Stage!H501)-LEN(SUBSTITUTE(Stage!H501,",",""))))+1,100))))/2)</f>
        <v>3</v>
      </c>
      <c r="F476" s="117">
        <f>IF(ISERROR(FIND(",",Stage!I501)),VALUE(Stage!I501),(VALUE(LEFT(Stage!I501,FIND(",",Stage!I501)-1))+VALUE(TRIM(MID(Stage!I501,FIND("|",SUBSTITUTE(Stage!I501,",","|",LEN(Stage!I501)-LEN(SUBSTITUTE(Stage!I501,",",""))))+1,100))))/2)</f>
        <v>0.2</v>
      </c>
      <c r="G476" s="117">
        <f>IF(ISERROR(FIND(",",Stage!J501)),VALUE(Stage!J501),VALUE(LEFT(Stage!J501,FIND(",",Stage!J501)-1)))</f>
        <v>40</v>
      </c>
      <c r="H476" s="117">
        <f>IF(Stage!K501="",0,LEN(TRIM(Stage!K501))-LEN(SUBSTITUTE(TRIM(Stage!K501),",",""))+1)</f>
        <v>4</v>
      </c>
      <c r="I476" s="117">
        <f>Stage!O501+Stage!P501+Stage!N501+Stage!Q501+Stage!M501</f>
        <v>11</v>
      </c>
      <c r="J476" s="117">
        <f>IF(Stage!F501=0,0,I476/Stage!F501)</f>
        <v>5.5E-2</v>
      </c>
      <c r="K476" s="118">
        <f t="shared" si="21"/>
        <v>49.472265609355603</v>
      </c>
      <c r="L476" s="118">
        <f t="shared" si="23"/>
        <v>44.447585551538459</v>
      </c>
      <c r="M476" s="117" t="str">
        <f t="shared" si="22"/>
        <v>어려움</v>
      </c>
    </row>
    <row r="477" spans="1:13" ht="15.95" customHeight="1" x14ac:dyDescent="0.3">
      <c r="A477" s="119">
        <v>464</v>
      </c>
      <c r="B477" s="119" t="str">
        <f>Stage!C502</f>
        <v>N 464</v>
      </c>
      <c r="C477" s="119">
        <f>Stage!F502</f>
        <v>180</v>
      </c>
      <c r="D477" s="119">
        <f>IF(Stage!G502="",0,LEN(TRIM(Stage!G502))-LEN(SUBSTITUTE(TRIM(Stage!G502),",",""))+1)</f>
        <v>3</v>
      </c>
      <c r="E477" s="119">
        <f>IF(ISERROR(FIND(",",Stage!H502)),VALUE(Stage!H502),(VALUE(LEFT(Stage!H502,FIND(",",Stage!H502)-1))+VALUE(TRIM(MID(Stage!H502,FIND("|",SUBSTITUTE(Stage!H502,",","|",LEN(Stage!H502)-LEN(SUBSTITUTE(Stage!H502,",",""))))+1,100))))/2)</f>
        <v>3</v>
      </c>
      <c r="F477" s="119">
        <f>IF(ISERROR(FIND(",",Stage!I502)),VALUE(Stage!I502),(VALUE(LEFT(Stage!I502,FIND(",",Stage!I502)-1))+VALUE(TRIM(MID(Stage!I502,FIND("|",SUBSTITUTE(Stage!I502,",","|",LEN(Stage!I502)-LEN(SUBSTITUTE(Stage!I502,",",""))))+1,100))))/2)</f>
        <v>0.2</v>
      </c>
      <c r="G477" s="119">
        <f>IF(ISERROR(FIND(",",Stage!J502)),VALUE(Stage!J502),VALUE(LEFT(Stage!J502,FIND(",",Stage!J502)-1)))</f>
        <v>36</v>
      </c>
      <c r="H477" s="119">
        <f>IF(Stage!K502="",0,LEN(TRIM(Stage!K502))-LEN(SUBSTITUTE(TRIM(Stage!K502),",",""))+1)</f>
        <v>4</v>
      </c>
      <c r="I477" s="119">
        <f>Stage!O502+Stage!P502+Stage!N502+Stage!Q502+Stage!M502</f>
        <v>6</v>
      </c>
      <c r="J477" s="119">
        <f>IF(Stage!F502=0,0,I477/Stage!F502)</f>
        <v>3.3333333333333333E-2</v>
      </c>
      <c r="K477" s="120">
        <f t="shared" si="21"/>
        <v>47.050342424606512</v>
      </c>
      <c r="L477" s="120">
        <f t="shared" si="23"/>
        <v>44.447585551538452</v>
      </c>
      <c r="M477" s="119" t="str">
        <f t="shared" si="22"/>
        <v>어려움</v>
      </c>
    </row>
    <row r="478" spans="1:13" ht="15.95" customHeight="1" x14ac:dyDescent="0.3">
      <c r="A478" s="117">
        <v>465</v>
      </c>
      <c r="B478" s="117" t="str">
        <f>Stage!C503</f>
        <v>N 465</v>
      </c>
      <c r="C478" s="117">
        <f>Stage!F503</f>
        <v>175</v>
      </c>
      <c r="D478" s="117">
        <f>IF(Stage!G503="",0,LEN(TRIM(Stage!G503))-LEN(SUBSTITUTE(TRIM(Stage!G503),",",""))+1)</f>
        <v>3</v>
      </c>
      <c r="E478" s="117">
        <f>IF(ISERROR(FIND(",",Stage!H503)),VALUE(Stage!H503),(VALUE(LEFT(Stage!H503,FIND(",",Stage!H503)-1))+VALUE(TRIM(MID(Stage!H503,FIND("|",SUBSTITUTE(Stage!H503,",","|",LEN(Stage!H503)-LEN(SUBSTITUTE(Stage!H503,",",""))))+1,100))))/2)</f>
        <v>3</v>
      </c>
      <c r="F478" s="117">
        <f>IF(ISERROR(FIND(",",Stage!I503)),VALUE(Stage!I503),(VALUE(LEFT(Stage!I503,FIND(",",Stage!I503)-1))+VALUE(TRIM(MID(Stage!I503,FIND("|",SUBSTITUTE(Stage!I503,",","|",LEN(Stage!I503)-LEN(SUBSTITUTE(Stage!I503,",",""))))+1,100))))/2)</f>
        <v>0.3</v>
      </c>
      <c r="G478" s="117">
        <f>IF(ISERROR(FIND(",",Stage!J503)),VALUE(Stage!J503),VALUE(LEFT(Stage!J503,FIND(",",Stage!J503)-1)))</f>
        <v>35</v>
      </c>
      <c r="H478" s="117">
        <f>IF(Stage!K503="",0,LEN(TRIM(Stage!K503))-LEN(SUBSTITUTE(TRIM(Stage!K503),",",""))+1)</f>
        <v>4</v>
      </c>
      <c r="I478" s="117">
        <f>Stage!O503+Stage!P503+Stage!N503+Stage!Q503+Stage!M503</f>
        <v>5</v>
      </c>
      <c r="J478" s="117">
        <f>IF(Stage!F503=0,0,I478/Stage!F503)</f>
        <v>2.8571428571428571E-2</v>
      </c>
      <c r="K478" s="118">
        <f t="shared" si="21"/>
        <v>45.073491128999954</v>
      </c>
      <c r="L478" s="118">
        <f t="shared" si="23"/>
        <v>44.324678601465813</v>
      </c>
      <c r="M478" s="117" t="str">
        <f t="shared" si="22"/>
        <v>어려움</v>
      </c>
    </row>
    <row r="479" spans="1:13" ht="15.95" customHeight="1" x14ac:dyDescent="0.3">
      <c r="A479" s="119">
        <v>466</v>
      </c>
      <c r="B479" s="119" t="str">
        <f>Stage!C504</f>
        <v>N 466</v>
      </c>
      <c r="C479" s="119">
        <f>Stage!F504</f>
        <v>150</v>
      </c>
      <c r="D479" s="119">
        <f>IF(Stage!G504="",0,LEN(TRIM(Stage!G504))-LEN(SUBSTITUTE(TRIM(Stage!G504),",",""))+1)</f>
        <v>3</v>
      </c>
      <c r="E479" s="119">
        <f>IF(ISERROR(FIND(",",Stage!H504)),VALUE(Stage!H504),(VALUE(LEFT(Stage!H504,FIND(",",Stage!H504)-1))+VALUE(TRIM(MID(Stage!H504,FIND("|",SUBSTITUTE(Stage!H504,",","|",LEN(Stage!H504)-LEN(SUBSTITUTE(Stage!H504,",",""))))+1,100))))/2)</f>
        <v>2.5</v>
      </c>
      <c r="F479" s="119">
        <f>IF(ISERROR(FIND(",",Stage!I504)),VALUE(Stage!I504),(VALUE(LEFT(Stage!I504,FIND(",",Stage!I504)-1))+VALUE(TRIM(MID(Stage!I504,FIND("|",SUBSTITUTE(Stage!I504,",","|",LEN(Stage!I504)-LEN(SUBSTITUTE(Stage!I504,",",""))))+1,100))))/2)</f>
        <v>0.4</v>
      </c>
      <c r="G479" s="119">
        <f>IF(ISERROR(FIND(",",Stage!J504)),VALUE(Stage!J504),VALUE(LEFT(Stage!J504,FIND(",",Stage!J504)-1)))</f>
        <v>30</v>
      </c>
      <c r="H479" s="119">
        <f>IF(Stage!K504="",0,LEN(TRIM(Stage!K504))-LEN(SUBSTITUTE(TRIM(Stage!K504),",",""))+1)</f>
        <v>4</v>
      </c>
      <c r="I479" s="119">
        <f>Stage!O504+Stage!P504+Stage!N504+Stage!Q504+Stage!M504</f>
        <v>1</v>
      </c>
      <c r="J479" s="119">
        <f>IF(Stage!F504=0,0,I479/Stage!F504)</f>
        <v>6.6666666666666671E-3</v>
      </c>
      <c r="K479" s="120">
        <f t="shared" si="21"/>
        <v>38.796667868156511</v>
      </c>
      <c r="L479" s="120">
        <f t="shared" si="23"/>
        <v>44.21518344285375</v>
      </c>
      <c r="M479" s="119" t="str">
        <f t="shared" si="22"/>
        <v>보통</v>
      </c>
    </row>
    <row r="480" spans="1:13" ht="15.95" customHeight="1" x14ac:dyDescent="0.3">
      <c r="A480" s="117">
        <v>467</v>
      </c>
      <c r="B480" s="117" t="str">
        <f>Stage!C505</f>
        <v>N 467</v>
      </c>
      <c r="C480" s="117">
        <f>Stage!F505</f>
        <v>160</v>
      </c>
      <c r="D480" s="117">
        <f>IF(Stage!G505="",0,LEN(TRIM(Stage!G505))-LEN(SUBSTITUTE(TRIM(Stage!G505),",",""))+1)</f>
        <v>3</v>
      </c>
      <c r="E480" s="117">
        <f>IF(ISERROR(FIND(",",Stage!H505)),VALUE(Stage!H505),(VALUE(LEFT(Stage!H505,FIND(",",Stage!H505)-1))+VALUE(TRIM(MID(Stage!H505,FIND("|",SUBSTITUTE(Stage!H505,",","|",LEN(Stage!H505)-LEN(SUBSTITUTE(Stage!H505,",",""))))+1,100))))/2)</f>
        <v>2.5</v>
      </c>
      <c r="F480" s="117">
        <f>IF(ISERROR(FIND(",",Stage!I505)),VALUE(Stage!I505),(VALUE(LEFT(Stage!I505,FIND(",",Stage!I505)-1))+VALUE(TRIM(MID(Stage!I505,FIND("|",SUBSTITUTE(Stage!I505,",","|",LEN(Stage!I505)-LEN(SUBSTITUTE(Stage!I505,",",""))))+1,100))))/2)</f>
        <v>0.3</v>
      </c>
      <c r="G480" s="117">
        <f>IF(ISERROR(FIND(",",Stage!J505)),VALUE(Stage!J505),VALUE(LEFT(Stage!J505,FIND(",",Stage!J505)-1)))</f>
        <v>32</v>
      </c>
      <c r="H480" s="117">
        <f>IF(Stage!K505="",0,LEN(TRIM(Stage!K505))-LEN(SUBSTITUTE(TRIM(Stage!K505),",",""))+1)</f>
        <v>4</v>
      </c>
      <c r="I480" s="117">
        <f>Stage!O505+Stage!P505+Stage!N505+Stage!Q505+Stage!M505</f>
        <v>2</v>
      </c>
      <c r="J480" s="117">
        <f>IF(Stage!F505=0,0,I480/Stage!F505)</f>
        <v>1.2500000000000001E-2</v>
      </c>
      <c r="K480" s="118">
        <f t="shared" si="21"/>
        <v>41.230625976210497</v>
      </c>
      <c r="L480" s="118">
        <f t="shared" si="23"/>
        <v>42.174204629124731</v>
      </c>
      <c r="M480" s="117" t="str">
        <f t="shared" si="22"/>
        <v>보통</v>
      </c>
    </row>
    <row r="481" spans="1:13" ht="15.95" customHeight="1" x14ac:dyDescent="0.3">
      <c r="A481" s="119">
        <v>468</v>
      </c>
      <c r="B481" s="119" t="str">
        <f>Stage!C506</f>
        <v>N 468</v>
      </c>
      <c r="C481" s="119">
        <f>Stage!F506</f>
        <v>195</v>
      </c>
      <c r="D481" s="119">
        <f>IF(Stage!G506="",0,LEN(TRIM(Stage!G506))-LEN(SUBSTITUTE(TRIM(Stage!G506),",",""))+1)</f>
        <v>3</v>
      </c>
      <c r="E481" s="119">
        <f>IF(ISERROR(FIND(",",Stage!H506)),VALUE(Stage!H506),(VALUE(LEFT(Stage!H506,FIND(",",Stage!H506)-1))+VALUE(TRIM(MID(Stage!H506,FIND("|",SUBSTITUTE(Stage!H506,",","|",LEN(Stage!H506)-LEN(SUBSTITUTE(Stage!H506,",",""))))+1,100))))/2)</f>
        <v>3</v>
      </c>
      <c r="F481" s="119">
        <f>IF(ISERROR(FIND(",",Stage!I506)),VALUE(Stage!I506),(VALUE(LEFT(Stage!I506,FIND(",",Stage!I506)-1))+VALUE(TRIM(MID(Stage!I506,FIND("|",SUBSTITUTE(Stage!I506,",","|",LEN(Stage!I506)-LEN(SUBSTITUTE(Stage!I506,",",""))))+1,100))))/2)</f>
        <v>0.2</v>
      </c>
      <c r="G481" s="119">
        <f>IF(ISERROR(FIND(",",Stage!J506)),VALUE(Stage!J506),VALUE(LEFT(Stage!J506,FIND(",",Stage!J506)-1)))</f>
        <v>39</v>
      </c>
      <c r="H481" s="119">
        <f>IF(Stage!K506="",0,LEN(TRIM(Stage!K506))-LEN(SUBSTITUTE(TRIM(Stage!K506),",",""))+1)</f>
        <v>4</v>
      </c>
      <c r="I481" s="119">
        <f>Stage!O506+Stage!P506+Stage!N506+Stage!Q506+Stage!M506</f>
        <v>10</v>
      </c>
      <c r="J481" s="119">
        <f>IF(Stage!F506=0,0,I481/Stage!F506)</f>
        <v>5.128205128205128E-2</v>
      </c>
      <c r="K481" s="120">
        <f t="shared" si="21"/>
        <v>48.924789816295281</v>
      </c>
      <c r="L481" s="120">
        <f t="shared" si="23"/>
        <v>41.528538548639474</v>
      </c>
      <c r="M481" s="119" t="str">
        <f t="shared" si="22"/>
        <v>어려움</v>
      </c>
    </row>
    <row r="482" spans="1:13" ht="15.95" customHeight="1" x14ac:dyDescent="0.3">
      <c r="A482" s="117">
        <v>469</v>
      </c>
      <c r="B482" s="117" t="str">
        <f>Stage!C507</f>
        <v>N 469</v>
      </c>
      <c r="C482" s="117">
        <f>Stage!F507</f>
        <v>150</v>
      </c>
      <c r="D482" s="117">
        <f>IF(Stage!G507="",0,LEN(TRIM(Stage!G507))-LEN(SUBSTITUTE(TRIM(Stage!G507),",",""))+1)</f>
        <v>3</v>
      </c>
      <c r="E482" s="117">
        <f>IF(ISERROR(FIND(",",Stage!H507)),VALUE(Stage!H507),(VALUE(LEFT(Stage!H507,FIND(",",Stage!H507)-1))+VALUE(TRIM(MID(Stage!H507,FIND("|",SUBSTITUTE(Stage!H507,",","|",LEN(Stage!H507)-LEN(SUBSTITUTE(Stage!H507,",",""))))+1,100))))/2)</f>
        <v>2.5</v>
      </c>
      <c r="F482" s="117">
        <f>IF(ISERROR(FIND(",",Stage!I507)),VALUE(Stage!I507),(VALUE(LEFT(Stage!I507,FIND(",",Stage!I507)-1))+VALUE(TRIM(MID(Stage!I507,FIND("|",SUBSTITUTE(Stage!I507,",","|",LEN(Stage!I507)-LEN(SUBSTITUTE(Stage!I507,",",""))))+1,100))))/2)</f>
        <v>0.4</v>
      </c>
      <c r="G482" s="117">
        <f>IF(ISERROR(FIND(",",Stage!J507)),VALUE(Stage!J507),VALUE(LEFT(Stage!J507,FIND(",",Stage!J507)-1)))</f>
        <v>37</v>
      </c>
      <c r="H482" s="117">
        <f>IF(Stage!K507="",0,LEN(TRIM(Stage!K507))-LEN(SUBSTITUTE(TRIM(Stage!K507),",",""))+1)</f>
        <v>3</v>
      </c>
      <c r="I482" s="117">
        <f>Stage!O507+Stage!P507+Stage!N507+Stage!Q507+Stage!M507</f>
        <v>1</v>
      </c>
      <c r="J482" s="117">
        <f>IF(Stage!F507=0,0,I482/Stage!F507)</f>
        <v>6.6666666666666671E-3</v>
      </c>
      <c r="K482" s="118">
        <f t="shared" si="21"/>
        <v>36.845448355961388</v>
      </c>
      <c r="L482" s="118">
        <f t="shared" si="23"/>
        <v>40.924557612278385</v>
      </c>
      <c r="M482" s="117" t="str">
        <f t="shared" si="22"/>
        <v>보통</v>
      </c>
    </row>
    <row r="483" spans="1:13" ht="15.95" customHeight="1" x14ac:dyDescent="0.3">
      <c r="A483" s="119">
        <v>470</v>
      </c>
      <c r="B483" s="119" t="str">
        <f>Stage!C508</f>
        <v>N 470</v>
      </c>
      <c r="C483" s="119">
        <f>Stage!F508</f>
        <v>165</v>
      </c>
      <c r="D483" s="119">
        <f>IF(Stage!G508="",0,LEN(TRIM(Stage!G508))-LEN(SUBSTITUTE(TRIM(Stage!G508),",",""))+1)</f>
        <v>3</v>
      </c>
      <c r="E483" s="119">
        <f>IF(ISERROR(FIND(",",Stage!H508)),VALUE(Stage!H508),(VALUE(LEFT(Stage!H508,FIND(",",Stage!H508)-1))+VALUE(TRIM(MID(Stage!H508,FIND("|",SUBSTITUTE(Stage!H508,",","|",LEN(Stage!H508)-LEN(SUBSTITUTE(Stage!H508,",",""))))+1,100))))/2)</f>
        <v>2.5</v>
      </c>
      <c r="F483" s="119">
        <f>IF(ISERROR(FIND(",",Stage!I508)),VALUE(Stage!I508),(VALUE(LEFT(Stage!I508,FIND(",",Stage!I508)-1))+VALUE(TRIM(MID(Stage!I508,FIND("|",SUBSTITUTE(Stage!I508,",","|",LEN(Stage!I508)-LEN(SUBSTITUTE(Stage!I508,",",""))))+1,100))))/2)</f>
        <v>0.3</v>
      </c>
      <c r="G483" s="119">
        <f>IF(ISERROR(FIND(",",Stage!J508)),VALUE(Stage!J508),VALUE(LEFT(Stage!J508,FIND(",",Stage!J508)-1)))</f>
        <v>33</v>
      </c>
      <c r="H483" s="119">
        <f>IF(Stage!K508="",0,LEN(TRIM(Stage!K508))-LEN(SUBSTITUTE(TRIM(Stage!K508),",",""))+1)</f>
        <v>4</v>
      </c>
      <c r="I483" s="119">
        <f>Stage!O508+Stage!P508+Stage!N508+Stage!Q508+Stage!M508</f>
        <v>3</v>
      </c>
      <c r="J483" s="119">
        <f>IF(Stage!F508=0,0,I483/Stage!F508)</f>
        <v>1.8181818181818181E-2</v>
      </c>
      <c r="K483" s="120">
        <f t="shared" si="21"/>
        <v>41.845160726573674</v>
      </c>
      <c r="L483" s="120">
        <f t="shared" si="23"/>
        <v>38.896222476710278</v>
      </c>
      <c r="M483" s="119" t="str">
        <f t="shared" si="22"/>
        <v>보통</v>
      </c>
    </row>
    <row r="484" spans="1:13" ht="15.95" customHeight="1" x14ac:dyDescent="0.3">
      <c r="A484" s="117">
        <v>471</v>
      </c>
      <c r="B484" s="117" t="str">
        <f>Stage!C509</f>
        <v>N 471</v>
      </c>
      <c r="C484" s="117">
        <f>Stage!F509</f>
        <v>140</v>
      </c>
      <c r="D484" s="117">
        <f>IF(Stage!G509="",0,LEN(TRIM(Stage!G509))-LEN(SUBSTITUTE(TRIM(Stage!G509),",",""))+1)</f>
        <v>3</v>
      </c>
      <c r="E484" s="117">
        <f>IF(ISERROR(FIND(",",Stage!H509)),VALUE(Stage!H509),(VALUE(LEFT(Stage!H509,FIND(",",Stage!H509)-1))+VALUE(TRIM(MID(Stage!H509,FIND("|",SUBSTITUTE(Stage!H509,",","|",LEN(Stage!H509)-LEN(SUBSTITUTE(Stage!H509,",",""))))+1,100))))/2)</f>
        <v>2.5</v>
      </c>
      <c r="F484" s="117">
        <f>IF(ISERROR(FIND(",",Stage!I509)),VALUE(Stage!I509),(VALUE(LEFT(Stage!I509,FIND(",",Stage!I509)-1))+VALUE(TRIM(MID(Stage!I509,FIND("|",SUBSTITUTE(Stage!I509,",","|",LEN(Stage!I509)-LEN(SUBSTITUTE(Stage!I509,",",""))))+1,100))))/2)</f>
        <v>0.4</v>
      </c>
      <c r="G484" s="117">
        <f>IF(ISERROR(FIND(",",Stage!J509)),VALUE(Stage!J509),VALUE(LEFT(Stage!J509,FIND(",",Stage!J509)-1)))</f>
        <v>35</v>
      </c>
      <c r="H484" s="117">
        <f>IF(Stage!K509="",0,LEN(TRIM(Stage!K509))-LEN(SUBSTITUTE(TRIM(Stage!K509),",",""))+1)</f>
        <v>3</v>
      </c>
      <c r="I484" s="117">
        <f>Stage!O509+Stage!P509+Stage!N509+Stage!Q509+Stage!M509</f>
        <v>0</v>
      </c>
      <c r="J484" s="117">
        <f>IF(Stage!F509=0,0,I484/Stage!F509)</f>
        <v>0</v>
      </c>
      <c r="K484" s="118">
        <f t="shared" si="21"/>
        <v>35.776763186351076</v>
      </c>
      <c r="L484" s="118">
        <f t="shared" si="23"/>
        <v>39.005717635322341</v>
      </c>
      <c r="M484" s="117" t="str">
        <f t="shared" si="22"/>
        <v>보통</v>
      </c>
    </row>
    <row r="485" spans="1:13" ht="15.95" customHeight="1" x14ac:dyDescent="0.3">
      <c r="A485" s="119">
        <v>472</v>
      </c>
      <c r="B485" s="119" t="str">
        <f>Stage!C510</f>
        <v>N 472</v>
      </c>
      <c r="C485" s="119">
        <f>Stage!F510</f>
        <v>125</v>
      </c>
      <c r="D485" s="119">
        <f>IF(Stage!G510="",0,LEN(TRIM(Stage!G510))-LEN(SUBSTITUTE(TRIM(Stage!G510),",",""))+1)</f>
        <v>3</v>
      </c>
      <c r="E485" s="119">
        <f>IF(ISERROR(FIND(",",Stage!H510)),VALUE(Stage!H510),(VALUE(LEFT(Stage!H510,FIND(",",Stage!H510)-1))+VALUE(TRIM(MID(Stage!H510,FIND("|",SUBSTITUTE(Stage!H510,",","|",LEN(Stage!H510)-LEN(SUBSTITUTE(Stage!H510,",",""))))+1,100))))/2)</f>
        <v>2</v>
      </c>
      <c r="F485" s="119">
        <f>IF(ISERROR(FIND(",",Stage!I510)),VALUE(Stage!I510),(VALUE(LEFT(Stage!I510,FIND(",",Stage!I510)-1))+VALUE(TRIM(MID(Stage!I510,FIND("|",SUBSTITUTE(Stage!I510,",","|",LEN(Stage!I510)-LEN(SUBSTITUTE(Stage!I510,",",""))))+1,100))))/2)</f>
        <v>0.5</v>
      </c>
      <c r="G485" s="119">
        <f>IF(ISERROR(FIND(",",Stage!J510)),VALUE(Stage!J510),VALUE(LEFT(Stage!J510,FIND(",",Stage!J510)-1)))</f>
        <v>31</v>
      </c>
      <c r="H485" s="119">
        <f>IF(Stage!K510="",0,LEN(TRIM(Stage!K510))-LEN(SUBSTITUTE(TRIM(Stage!K510),",",""))+1)</f>
        <v>3</v>
      </c>
      <c r="I485" s="119">
        <f>Stage!O510+Stage!P510+Stage!N510+Stage!Q510+Stage!M510</f>
        <v>0</v>
      </c>
      <c r="J485" s="119">
        <f>IF(Stage!F510=0,0,I485/Stage!F510)</f>
        <v>0</v>
      </c>
      <c r="K485" s="120">
        <f t="shared" si="21"/>
        <v>31.088950298369983</v>
      </c>
      <c r="L485" s="120">
        <f t="shared" si="23"/>
        <v>39.478597167232238</v>
      </c>
      <c r="M485" s="119" t="str">
        <f t="shared" si="22"/>
        <v>보통</v>
      </c>
    </row>
    <row r="486" spans="1:13" ht="15.95" customHeight="1" x14ac:dyDescent="0.3">
      <c r="A486" s="117">
        <v>473</v>
      </c>
      <c r="B486" s="117" t="str">
        <f>Stage!C511</f>
        <v>N 473</v>
      </c>
      <c r="C486" s="117">
        <f>Stage!F511</f>
        <v>200</v>
      </c>
      <c r="D486" s="117">
        <f>IF(Stage!G511="",0,LEN(TRIM(Stage!G511))-LEN(SUBSTITUTE(TRIM(Stage!G511),",",""))+1)</f>
        <v>3</v>
      </c>
      <c r="E486" s="117">
        <f>IF(ISERROR(FIND(",",Stage!H511)),VALUE(Stage!H511),(VALUE(LEFT(Stage!H511,FIND(",",Stage!H511)-1))+VALUE(TRIM(MID(Stage!H511,FIND("|",SUBSTITUTE(Stage!H511,",","|",LEN(Stage!H511)-LEN(SUBSTITUTE(Stage!H511,",",""))))+1,100))))/2)</f>
        <v>3</v>
      </c>
      <c r="F486" s="117">
        <f>IF(ISERROR(FIND(",",Stage!I511)),VALUE(Stage!I511),(VALUE(LEFT(Stage!I511,FIND(",",Stage!I511)-1))+VALUE(TRIM(MID(Stage!I511,FIND("|",SUBSTITUTE(Stage!I511,",","|",LEN(Stage!I511)-LEN(SUBSTITUTE(Stage!I511,",",""))))+1,100))))/2)</f>
        <v>0.2</v>
      </c>
      <c r="G486" s="117">
        <f>IF(ISERROR(FIND(",",Stage!J511)),VALUE(Stage!J511),VALUE(LEFT(Stage!J511,FIND(",",Stage!J511)-1)))</f>
        <v>40</v>
      </c>
      <c r="H486" s="117">
        <f>IF(Stage!K511="",0,LEN(TRIM(Stage!K511))-LEN(SUBSTITUTE(TRIM(Stage!K511),",",""))+1)</f>
        <v>4</v>
      </c>
      <c r="I486" s="117">
        <f>Stage!O511+Stage!P511+Stage!N511+Stage!Q511+Stage!M511</f>
        <v>11</v>
      </c>
      <c r="J486" s="117">
        <f>IF(Stage!F511=0,0,I486/Stage!F511)</f>
        <v>5.5E-2</v>
      </c>
      <c r="K486" s="118">
        <f t="shared" si="21"/>
        <v>49.472265609355603</v>
      </c>
      <c r="L486" s="118">
        <f t="shared" si="23"/>
        <v>40.124263247717494</v>
      </c>
      <c r="M486" s="117" t="str">
        <f t="shared" si="22"/>
        <v>어려움</v>
      </c>
    </row>
    <row r="487" spans="1:13" ht="15.95" customHeight="1" x14ac:dyDescent="0.3">
      <c r="A487" s="119">
        <v>474</v>
      </c>
      <c r="B487" s="119" t="str">
        <f>Stage!C512</f>
        <v>N 474</v>
      </c>
      <c r="C487" s="119">
        <f>Stage!F512</f>
        <v>155</v>
      </c>
      <c r="D487" s="119">
        <f>IF(Stage!G512="",0,LEN(TRIM(Stage!G512))-LEN(SUBSTITUTE(TRIM(Stage!G512),",",""))+1)</f>
        <v>3</v>
      </c>
      <c r="E487" s="119">
        <f>IF(ISERROR(FIND(",",Stage!H512)),VALUE(Stage!H512),(VALUE(LEFT(Stage!H512,FIND(",",Stage!H512)-1))+VALUE(TRIM(MID(Stage!H512,FIND("|",SUBSTITUTE(Stage!H512,",","|",LEN(Stage!H512)-LEN(SUBSTITUTE(Stage!H512,",",""))))+1,100))))/2)</f>
        <v>2.5</v>
      </c>
      <c r="F487" s="119">
        <f>IF(ISERROR(FIND(",",Stage!I512)),VALUE(Stage!I512),(VALUE(LEFT(Stage!I512,FIND(",",Stage!I512)-1))+VALUE(TRIM(MID(Stage!I512,FIND("|",SUBSTITUTE(Stage!I512,",","|",LEN(Stage!I512)-LEN(SUBSTITUTE(Stage!I512,",",""))))+1,100))))/2)</f>
        <v>0.4</v>
      </c>
      <c r="G487" s="119">
        <f>IF(ISERROR(FIND(",",Stage!J512)),VALUE(Stage!J512),VALUE(LEFT(Stage!J512,FIND(",",Stage!J512)-1)))</f>
        <v>31</v>
      </c>
      <c r="H487" s="119">
        <f>IF(Stage!K512="",0,LEN(TRIM(Stage!K512))-LEN(SUBSTITUTE(TRIM(Stage!K512),",",""))+1)</f>
        <v>4</v>
      </c>
      <c r="I487" s="119">
        <f>Stage!O512+Stage!P512+Stage!N512+Stage!Q512+Stage!M512</f>
        <v>1</v>
      </c>
      <c r="J487" s="119">
        <f>IF(Stage!F512=0,0,I487/Stage!F512)</f>
        <v>6.4516129032258064E-3</v>
      </c>
      <c r="K487" s="120">
        <f t="shared" si="21"/>
        <v>39.209846015510841</v>
      </c>
      <c r="L487" s="120">
        <f t="shared" si="23"/>
        <v>40.936290161090071</v>
      </c>
      <c r="M487" s="119" t="str">
        <f t="shared" si="22"/>
        <v>보통</v>
      </c>
    </row>
    <row r="488" spans="1:13" ht="15.95" customHeight="1" x14ac:dyDescent="0.3">
      <c r="A488" s="117">
        <v>475</v>
      </c>
      <c r="B488" s="117" t="str">
        <f>Stage!C513</f>
        <v>N 475</v>
      </c>
      <c r="C488" s="117">
        <f>Stage!F513</f>
        <v>175</v>
      </c>
      <c r="D488" s="117">
        <f>IF(Stage!G513="",0,LEN(TRIM(Stage!G513))-LEN(SUBSTITUTE(TRIM(Stage!G513),",",""))+1)</f>
        <v>3</v>
      </c>
      <c r="E488" s="117">
        <f>IF(ISERROR(FIND(",",Stage!H513)),VALUE(Stage!H513),(VALUE(LEFT(Stage!H513,FIND(",",Stage!H513)-1))+VALUE(TRIM(MID(Stage!H513,FIND("|",SUBSTITUTE(Stage!H513,",","|",LEN(Stage!H513)-LEN(SUBSTITUTE(Stage!H513,",",""))))+1,100))))/2)</f>
        <v>3</v>
      </c>
      <c r="F488" s="117">
        <f>IF(ISERROR(FIND(",",Stage!I513)),VALUE(Stage!I513),(VALUE(LEFT(Stage!I513,FIND(",",Stage!I513)-1))+VALUE(TRIM(MID(Stage!I513,FIND("|",SUBSTITUTE(Stage!I513,",","|",LEN(Stage!I513)-LEN(SUBSTITUTE(Stage!I513,",",""))))+1,100))))/2)</f>
        <v>0.3</v>
      </c>
      <c r="G488" s="117">
        <f>IF(ISERROR(FIND(",",Stage!J513)),VALUE(Stage!J513),VALUE(LEFT(Stage!J513,FIND(",",Stage!J513)-1)))</f>
        <v>35</v>
      </c>
      <c r="H488" s="117">
        <f>IF(Stage!K513="",0,LEN(TRIM(Stage!K513))-LEN(SUBSTITUTE(TRIM(Stage!K513),",",""))+1)</f>
        <v>4</v>
      </c>
      <c r="I488" s="117">
        <f>Stage!O513+Stage!P513+Stage!N513+Stage!Q513+Stage!M513</f>
        <v>5</v>
      </c>
      <c r="J488" s="117">
        <f>IF(Stage!F513=0,0,I488/Stage!F513)</f>
        <v>2.8571428571428571E-2</v>
      </c>
      <c r="K488" s="118">
        <f t="shared" si="21"/>
        <v>45.073491128999954</v>
      </c>
      <c r="L488" s="118">
        <f t="shared" si="23"/>
        <v>43.614660752387991</v>
      </c>
      <c r="M488" s="117" t="str">
        <f t="shared" si="22"/>
        <v>어려움</v>
      </c>
    </row>
    <row r="489" spans="1:13" ht="15.95" customHeight="1" x14ac:dyDescent="0.3">
      <c r="A489" s="119">
        <v>476</v>
      </c>
      <c r="B489" s="119" t="str">
        <f>Stage!C514</f>
        <v>N 476</v>
      </c>
      <c r="C489" s="119">
        <f>Stage!F514</f>
        <v>160</v>
      </c>
      <c r="D489" s="119">
        <f>IF(Stage!G514="",0,LEN(TRIM(Stage!G514))-LEN(SUBSTITUTE(TRIM(Stage!G514),",",""))+1)</f>
        <v>3</v>
      </c>
      <c r="E489" s="119">
        <f>IF(ISERROR(FIND(",",Stage!H514)),VALUE(Stage!H514),(VALUE(LEFT(Stage!H514,FIND(",",Stage!H514)-1))+VALUE(TRIM(MID(Stage!H514,FIND("|",SUBSTITUTE(Stage!H514,",","|",LEN(Stage!H514)-LEN(SUBSTITUTE(Stage!H514,",",""))))+1,100))))/2)</f>
        <v>2.5</v>
      </c>
      <c r="F489" s="119">
        <f>IF(ISERROR(FIND(",",Stage!I514)),VALUE(Stage!I514),(VALUE(LEFT(Stage!I514,FIND(",",Stage!I514)-1))+VALUE(TRIM(MID(Stage!I514,FIND("|",SUBSTITUTE(Stage!I514,",","|",LEN(Stage!I514)-LEN(SUBSTITUTE(Stage!I514,",",""))))+1,100))))/2)</f>
        <v>0.4</v>
      </c>
      <c r="G489" s="119">
        <f>IF(ISERROR(FIND(",",Stage!J514)),VALUE(Stage!J514),VALUE(LEFT(Stage!J514,FIND(",",Stage!J514)-1)))</f>
        <v>32</v>
      </c>
      <c r="H489" s="119">
        <f>IF(Stage!K514="",0,LEN(TRIM(Stage!K514))-LEN(SUBSTITUTE(TRIM(Stage!K514),",",""))+1)</f>
        <v>4</v>
      </c>
      <c r="I489" s="119">
        <f>Stage!O514+Stage!P514+Stage!N514+Stage!Q514+Stage!M514</f>
        <v>2</v>
      </c>
      <c r="J489" s="119">
        <f>IF(Stage!F514=0,0,I489/Stage!F514)</f>
        <v>1.2500000000000001E-2</v>
      </c>
      <c r="K489" s="120">
        <f t="shared" si="21"/>
        <v>39.836897753213982</v>
      </c>
      <c r="L489" s="120">
        <f t="shared" si="23"/>
        <v>41.687587181159657</v>
      </c>
      <c r="M489" s="119" t="str">
        <f t="shared" si="22"/>
        <v>보통</v>
      </c>
    </row>
    <row r="490" spans="1:13" ht="15.95" customHeight="1" x14ac:dyDescent="0.3">
      <c r="A490" s="117">
        <v>477</v>
      </c>
      <c r="B490" s="117" t="str">
        <f>Stage!C515</f>
        <v>N 477</v>
      </c>
      <c r="C490" s="117">
        <f>Stage!F515</f>
        <v>170</v>
      </c>
      <c r="D490" s="117">
        <f>IF(Stage!G515="",0,LEN(TRIM(Stage!G515))-LEN(SUBSTITUTE(TRIM(Stage!G515),",",""))+1)</f>
        <v>3</v>
      </c>
      <c r="E490" s="117">
        <f>IF(ISERROR(FIND(",",Stage!H515)),VALUE(Stage!H515),(VALUE(LEFT(Stage!H515,FIND(",",Stage!H515)-1))+VALUE(TRIM(MID(Stage!H515,FIND("|",SUBSTITUTE(Stage!H515,",","|",LEN(Stage!H515)-LEN(SUBSTITUTE(Stage!H515,",",""))))+1,100))))/2)</f>
        <v>3</v>
      </c>
      <c r="F490" s="117">
        <f>IF(ISERROR(FIND(",",Stage!I515)),VALUE(Stage!I515),(VALUE(LEFT(Stage!I515,FIND(",",Stage!I515)-1))+VALUE(TRIM(MID(Stage!I515,FIND("|",SUBSTITUTE(Stage!I515,",","|",LEN(Stage!I515)-LEN(SUBSTITUTE(Stage!I515,",",""))))+1,100))))/2)</f>
        <v>0.3</v>
      </c>
      <c r="G490" s="117">
        <f>IF(ISERROR(FIND(",",Stage!J515)),VALUE(Stage!J515),VALUE(LEFT(Stage!J515,FIND(",",Stage!J515)-1)))</f>
        <v>34</v>
      </c>
      <c r="H490" s="117">
        <f>IF(Stage!K515="",0,LEN(TRIM(Stage!K515))-LEN(SUBSTITUTE(TRIM(Stage!K515),",",""))+1)</f>
        <v>4</v>
      </c>
      <c r="I490" s="117">
        <f>Stage!O515+Stage!P515+Stage!N515+Stage!Q515+Stage!M515</f>
        <v>4</v>
      </c>
      <c r="J490" s="117">
        <f>IF(Stage!F515=0,0,I490/Stage!F515)</f>
        <v>2.3529411764705882E-2</v>
      </c>
      <c r="K490" s="118">
        <f t="shared" si="21"/>
        <v>44.480803254859552</v>
      </c>
      <c r="L490" s="118">
        <f t="shared" si="23"/>
        <v>43.255686462978794</v>
      </c>
      <c r="M490" s="117" t="str">
        <f t="shared" si="22"/>
        <v>보통</v>
      </c>
    </row>
    <row r="491" spans="1:13" ht="15.95" customHeight="1" x14ac:dyDescent="0.3">
      <c r="A491" s="119">
        <v>478</v>
      </c>
      <c r="B491" s="119" t="str">
        <f>Stage!C516</f>
        <v>N 478</v>
      </c>
      <c r="C491" s="119">
        <f>Stage!F516</f>
        <v>160</v>
      </c>
      <c r="D491" s="119">
        <f>IF(Stage!G516="",0,LEN(TRIM(Stage!G516))-LEN(SUBSTITUTE(TRIM(Stage!G516),",",""))+1)</f>
        <v>3</v>
      </c>
      <c r="E491" s="119">
        <f>IF(ISERROR(FIND(",",Stage!H516)),VALUE(Stage!H516),(VALUE(LEFT(Stage!H516,FIND(",",Stage!H516)-1))+VALUE(TRIM(MID(Stage!H516,FIND("|",SUBSTITUTE(Stage!H516,",","|",LEN(Stage!H516)-LEN(SUBSTITUTE(Stage!H516,",",""))))+1,100))))/2)</f>
        <v>2.5</v>
      </c>
      <c r="F491" s="119">
        <f>IF(ISERROR(FIND(",",Stage!I516)),VALUE(Stage!I516),(VALUE(LEFT(Stage!I516,FIND(",",Stage!I516)-1))+VALUE(TRIM(MID(Stage!I516,FIND("|",SUBSTITUTE(Stage!I516,",","|",LEN(Stage!I516)-LEN(SUBSTITUTE(Stage!I516,",",""))))+1,100))))/2)</f>
        <v>0.4</v>
      </c>
      <c r="G491" s="119">
        <f>IF(ISERROR(FIND(",",Stage!J516)),VALUE(Stage!J516),VALUE(LEFT(Stage!J516,FIND(",",Stage!J516)-1)))</f>
        <v>32</v>
      </c>
      <c r="H491" s="119">
        <f>IF(Stage!K516="",0,LEN(TRIM(Stage!K516))-LEN(SUBSTITUTE(TRIM(Stage!K516),",",""))+1)</f>
        <v>4</v>
      </c>
      <c r="I491" s="119">
        <f>Stage!O516+Stage!P516+Stage!N516+Stage!Q516+Stage!M516</f>
        <v>2</v>
      </c>
      <c r="J491" s="119">
        <f>IF(Stage!F516=0,0,I491/Stage!F516)</f>
        <v>1.2500000000000001E-2</v>
      </c>
      <c r="K491" s="120">
        <f t="shared" si="21"/>
        <v>39.836897753213982</v>
      </c>
      <c r="L491" s="120">
        <f t="shared" si="23"/>
        <v>43.137148888150719</v>
      </c>
      <c r="M491" s="119" t="str">
        <f t="shared" si="22"/>
        <v>보통</v>
      </c>
    </row>
    <row r="492" spans="1:13" ht="15.95" customHeight="1" x14ac:dyDescent="0.3">
      <c r="A492" s="117">
        <v>479</v>
      </c>
      <c r="B492" s="117" t="str">
        <f>Stage!C517</f>
        <v>N 479</v>
      </c>
      <c r="C492" s="117">
        <f>Stage!F517</f>
        <v>180</v>
      </c>
      <c r="D492" s="117">
        <f>IF(Stage!G517="",0,LEN(TRIM(Stage!G517))-LEN(SUBSTITUTE(TRIM(Stage!G517),",",""))+1)</f>
        <v>3</v>
      </c>
      <c r="E492" s="117">
        <f>IF(ISERROR(FIND(",",Stage!H517)),VALUE(Stage!H517),(VALUE(LEFT(Stage!H517,FIND(",",Stage!H517)-1))+VALUE(TRIM(MID(Stage!H517,FIND("|",SUBSTITUTE(Stage!H517,",","|",LEN(Stage!H517)-LEN(SUBSTITUTE(Stage!H517,",",""))))+1,100))))/2)</f>
        <v>3</v>
      </c>
      <c r="F492" s="117">
        <f>IF(ISERROR(FIND(",",Stage!I517)),VALUE(Stage!I517),(VALUE(LEFT(Stage!I517,FIND(",",Stage!I517)-1))+VALUE(TRIM(MID(Stage!I517,FIND("|",SUBSTITUTE(Stage!I517,",","|",LEN(Stage!I517)-LEN(SUBSTITUTE(Stage!I517,",",""))))+1,100))))/2)</f>
        <v>0.2</v>
      </c>
      <c r="G492" s="117">
        <f>IF(ISERROR(FIND(",",Stage!J517)),VALUE(Stage!J517),VALUE(LEFT(Stage!J517,FIND(",",Stage!J517)-1)))</f>
        <v>36</v>
      </c>
      <c r="H492" s="117">
        <f>IF(Stage!K517="",0,LEN(TRIM(Stage!K517))-LEN(SUBSTITUTE(TRIM(Stage!K517),",",""))+1)</f>
        <v>4</v>
      </c>
      <c r="I492" s="117">
        <f>Stage!O517+Stage!P517+Stage!N517+Stage!Q517+Stage!M517</f>
        <v>6</v>
      </c>
      <c r="J492" s="117">
        <f>IF(Stage!F517=0,0,I492/Stage!F517)</f>
        <v>3.3333333333333333E-2</v>
      </c>
      <c r="K492" s="118">
        <f t="shared" si="21"/>
        <v>47.050342424606512</v>
      </c>
      <c r="L492" s="118">
        <f t="shared" si="23"/>
        <v>41.399574295656024</v>
      </c>
      <c r="M492" s="117" t="str">
        <f t="shared" si="22"/>
        <v>어려움</v>
      </c>
    </row>
    <row r="493" spans="1:13" ht="15.95" customHeight="1" x14ac:dyDescent="0.3">
      <c r="A493" s="119">
        <v>480</v>
      </c>
      <c r="B493" s="119" t="str">
        <f>Stage!C518</f>
        <v>N 480</v>
      </c>
      <c r="C493" s="119">
        <f>Stage!F518</f>
        <v>170</v>
      </c>
      <c r="D493" s="119">
        <f>IF(Stage!G518="",0,LEN(TRIM(Stage!G518))-LEN(SUBSTITUTE(TRIM(Stage!G518),",",""))+1)</f>
        <v>3</v>
      </c>
      <c r="E493" s="119">
        <f>IF(ISERROR(FIND(",",Stage!H518)),VALUE(Stage!H518),(VALUE(LEFT(Stage!H518,FIND(",",Stage!H518)-1))+VALUE(TRIM(MID(Stage!H518,FIND("|",SUBSTITUTE(Stage!H518,",","|",LEN(Stage!H518)-LEN(SUBSTITUTE(Stage!H518,",",""))))+1,100))))/2)</f>
        <v>3</v>
      </c>
      <c r="F493" s="119">
        <f>IF(ISERROR(FIND(",",Stage!I518)),VALUE(Stage!I518),(VALUE(LEFT(Stage!I518,FIND(",",Stage!I518)-1))+VALUE(TRIM(MID(Stage!I518,FIND("|",SUBSTITUTE(Stage!I518,",","|",LEN(Stage!I518)-LEN(SUBSTITUTE(Stage!I518,",",""))))+1,100))))/2)</f>
        <v>0.3</v>
      </c>
      <c r="G493" s="119">
        <f>IF(ISERROR(FIND(",",Stage!J518)),VALUE(Stage!J518),VALUE(LEFT(Stage!J518,FIND(",",Stage!J518)-1)))</f>
        <v>34</v>
      </c>
      <c r="H493" s="119">
        <f>IF(Stage!K518="",0,LEN(TRIM(Stage!K518))-LEN(SUBSTITUTE(TRIM(Stage!K518),",",""))+1)</f>
        <v>4</v>
      </c>
      <c r="I493" s="119">
        <f>Stage!O518+Stage!P518+Stage!N518+Stage!Q518+Stage!M518</f>
        <v>4</v>
      </c>
      <c r="J493" s="119">
        <f>IF(Stage!F518=0,0,I493/Stage!F518)</f>
        <v>2.3529411764705882E-2</v>
      </c>
      <c r="K493" s="120">
        <f t="shared" si="21"/>
        <v>44.480803254859552</v>
      </c>
      <c r="L493" s="120">
        <f t="shared" si="23"/>
        <v>38.727211153595171</v>
      </c>
      <c r="M493" s="119" t="str">
        <f t="shared" si="22"/>
        <v>보통</v>
      </c>
    </row>
    <row r="494" spans="1:13" ht="15.95" customHeight="1" x14ac:dyDescent="0.3">
      <c r="A494" s="117">
        <v>481</v>
      </c>
      <c r="B494" s="117" t="str">
        <f>Stage!C519</f>
        <v>N 481</v>
      </c>
      <c r="C494" s="117">
        <f>Stage!F519</f>
        <v>105</v>
      </c>
      <c r="D494" s="117">
        <f>IF(Stage!G519="",0,LEN(TRIM(Stage!G519))-LEN(SUBSTITUTE(TRIM(Stage!G519),",",""))+1)</f>
        <v>3</v>
      </c>
      <c r="E494" s="117">
        <f>IF(ISERROR(FIND(",",Stage!H519)),VALUE(Stage!H519),(VALUE(LEFT(Stage!H519,FIND(",",Stage!H519)-1))+VALUE(TRIM(MID(Stage!H519,FIND("|",SUBSTITUTE(Stage!H519,",","|",LEN(Stage!H519)-LEN(SUBSTITUTE(Stage!H519,",",""))))+1,100))))/2)</f>
        <v>2</v>
      </c>
      <c r="F494" s="117">
        <f>IF(ISERROR(FIND(",",Stage!I519)),VALUE(Stage!I519),(VALUE(LEFT(Stage!I519,FIND(",",Stage!I519)-1))+VALUE(TRIM(MID(Stage!I519,FIND("|",SUBSTITUTE(Stage!I519,",","|",LEN(Stage!I519)-LEN(SUBSTITUTE(Stage!I519,",",""))))+1,100))))/2)</f>
        <v>0.5</v>
      </c>
      <c r="G494" s="117">
        <f>IF(ISERROR(FIND(",",Stage!J519)),VALUE(Stage!J519),VALUE(LEFT(Stage!J519,FIND(",",Stage!J519)-1)))</f>
        <v>26</v>
      </c>
      <c r="H494" s="117">
        <f>IF(Stage!K519="",0,LEN(TRIM(Stage!K519))-LEN(SUBSTITUTE(TRIM(Stage!K519),",",""))+1)</f>
        <v>3</v>
      </c>
      <c r="I494" s="117">
        <f>Stage!O519+Stage!P519+Stage!N519+Stage!Q519+Stage!M519</f>
        <v>0</v>
      </c>
      <c r="J494" s="117">
        <f>IF(Stage!F519=0,0,I494/Stage!F519)</f>
        <v>0</v>
      </c>
      <c r="K494" s="118">
        <f t="shared" si="21"/>
        <v>31.149024790740526</v>
      </c>
      <c r="L494" s="118">
        <f t="shared" si="23"/>
        <v>37.831079950903828</v>
      </c>
      <c r="M494" s="117" t="str">
        <f t="shared" si="22"/>
        <v>보통</v>
      </c>
    </row>
    <row r="495" spans="1:13" ht="15.95" customHeight="1" x14ac:dyDescent="0.3">
      <c r="A495" s="119">
        <v>482</v>
      </c>
      <c r="B495" s="119" t="str">
        <f>Stage!C520</f>
        <v>N 482</v>
      </c>
      <c r="C495" s="119">
        <f>Stage!F520</f>
        <v>115</v>
      </c>
      <c r="D495" s="119">
        <f>IF(Stage!G520="",0,LEN(TRIM(Stage!G520))-LEN(SUBSTITUTE(TRIM(Stage!G520),",",""))+1)</f>
        <v>3</v>
      </c>
      <c r="E495" s="119">
        <f>IF(ISERROR(FIND(",",Stage!H520)),VALUE(Stage!H520),(VALUE(LEFT(Stage!H520,FIND(",",Stage!H520)-1))+VALUE(TRIM(MID(Stage!H520,FIND("|",SUBSTITUTE(Stage!H520,",","|",LEN(Stage!H520)-LEN(SUBSTITUTE(Stage!H520,",",""))))+1,100))))/2)</f>
        <v>2</v>
      </c>
      <c r="F495" s="119">
        <f>IF(ISERROR(FIND(",",Stage!I520)),VALUE(Stage!I520),(VALUE(LEFT(Stage!I520,FIND(",",Stage!I520)-1))+VALUE(TRIM(MID(Stage!I520,FIND("|",SUBSTITUTE(Stage!I520,",","|",LEN(Stage!I520)-LEN(SUBSTITUTE(Stage!I520,",",""))))+1,100))))/2)</f>
        <v>0.5</v>
      </c>
      <c r="G495" s="119">
        <f>IF(ISERROR(FIND(",",Stage!J520)),VALUE(Stage!J520),VALUE(LEFT(Stage!J520,FIND(",",Stage!J520)-1)))</f>
        <v>28</v>
      </c>
      <c r="H495" s="119">
        <f>IF(Stage!K520="",0,LEN(TRIM(Stage!K520))-LEN(SUBSTITUTE(TRIM(Stage!K520),",",""))+1)</f>
        <v>3</v>
      </c>
      <c r="I495" s="119">
        <f>Stage!O520+Stage!P520+Stage!N520+Stage!Q520+Stage!M520</f>
        <v>0</v>
      </c>
      <c r="J495" s="119">
        <f>IF(Stage!F520=0,0,I495/Stage!F520)</f>
        <v>0</v>
      </c>
      <c r="K495" s="120">
        <f t="shared" si="21"/>
        <v>31.118987544555253</v>
      </c>
      <c r="L495" s="120">
        <f t="shared" si="23"/>
        <v>34.638801525656518</v>
      </c>
      <c r="M495" s="119" t="str">
        <f t="shared" si="22"/>
        <v>보통</v>
      </c>
    </row>
    <row r="496" spans="1:13" ht="15.95" customHeight="1" x14ac:dyDescent="0.3">
      <c r="A496" s="117">
        <v>483</v>
      </c>
      <c r="B496" s="117" t="str">
        <f>Stage!C521</f>
        <v>N 483</v>
      </c>
      <c r="C496" s="117">
        <f>Stage!F521</f>
        <v>135</v>
      </c>
      <c r="D496" s="117">
        <f>IF(Stage!G521="",0,LEN(TRIM(Stage!G521))-LEN(SUBSTITUTE(TRIM(Stage!G521),",",""))+1)</f>
        <v>3</v>
      </c>
      <c r="E496" s="117">
        <f>IF(ISERROR(FIND(",",Stage!H521)),VALUE(Stage!H521),(VALUE(LEFT(Stage!H521,FIND(",",Stage!H521)-1))+VALUE(TRIM(MID(Stage!H521,FIND("|",SUBSTITUTE(Stage!H521,",","|",LEN(Stage!H521)-LEN(SUBSTITUTE(Stage!H521,",",""))))+1,100))))/2)</f>
        <v>2.5</v>
      </c>
      <c r="F496" s="117">
        <f>IF(ISERROR(FIND(",",Stage!I521)),VALUE(Stage!I521),(VALUE(LEFT(Stage!I521,FIND(",",Stage!I521)-1))+VALUE(TRIM(MID(Stage!I521,FIND("|",SUBSTITUTE(Stage!I521,",","|",LEN(Stage!I521)-LEN(SUBSTITUTE(Stage!I521,",",""))))+1,100))))/2)</f>
        <v>0.4</v>
      </c>
      <c r="G496" s="117">
        <f>IF(ISERROR(FIND(",",Stage!J521)),VALUE(Stage!J521),VALUE(LEFT(Stage!J521,FIND(",",Stage!J521)-1)))</f>
        <v>33</v>
      </c>
      <c r="H496" s="117">
        <f>IF(Stage!K521="",0,LEN(TRIM(Stage!K521))-LEN(SUBSTITUTE(TRIM(Stage!K521),",",""))+1)</f>
        <v>3</v>
      </c>
      <c r="I496" s="117">
        <f>Stage!O521+Stage!P521+Stage!N521+Stage!Q521+Stage!M521</f>
        <v>0</v>
      </c>
      <c r="J496" s="117">
        <f>IF(Stage!F521=0,0,I496/Stage!F521)</f>
        <v>0</v>
      </c>
      <c r="K496" s="118">
        <f t="shared" si="21"/>
        <v>35.356241739757294</v>
      </c>
      <c r="L496" s="118">
        <f t="shared" si="23"/>
        <v>34.7573391004846</v>
      </c>
      <c r="M496" s="117" t="str">
        <f t="shared" si="22"/>
        <v>보통</v>
      </c>
    </row>
    <row r="497" spans="1:13" ht="15.95" customHeight="1" x14ac:dyDescent="0.3">
      <c r="A497" s="119">
        <v>484</v>
      </c>
      <c r="B497" s="119" t="str">
        <f>Stage!C522</f>
        <v>N 484</v>
      </c>
      <c r="C497" s="119">
        <f>Stage!F522</f>
        <v>125</v>
      </c>
      <c r="D497" s="119">
        <f>IF(Stage!G522="",0,LEN(TRIM(Stage!G522))-LEN(SUBSTITUTE(TRIM(Stage!G522),",",""))+1)</f>
        <v>3</v>
      </c>
      <c r="E497" s="119">
        <f>IF(ISERROR(FIND(",",Stage!H522)),VALUE(Stage!H522),(VALUE(LEFT(Stage!H522,FIND(",",Stage!H522)-1))+VALUE(TRIM(MID(Stage!H522,FIND("|",SUBSTITUTE(Stage!H522,",","|",LEN(Stage!H522)-LEN(SUBSTITUTE(Stage!H522,",",""))))+1,100))))/2)</f>
        <v>2</v>
      </c>
      <c r="F497" s="119">
        <f>IF(ISERROR(FIND(",",Stage!I522)),VALUE(Stage!I522),(VALUE(LEFT(Stage!I522,FIND(",",Stage!I522)-1))+VALUE(TRIM(MID(Stage!I522,FIND("|",SUBSTITUTE(Stage!I522,",","|",LEN(Stage!I522)-LEN(SUBSTITUTE(Stage!I522,",",""))))+1,100))))/2)</f>
        <v>0.5</v>
      </c>
      <c r="G497" s="119">
        <f>IF(ISERROR(FIND(",",Stage!J522)),VALUE(Stage!J522),VALUE(LEFT(Stage!J522,FIND(",",Stage!J522)-1)))</f>
        <v>31</v>
      </c>
      <c r="H497" s="119">
        <f>IF(Stage!K522="",0,LEN(TRIM(Stage!K522))-LEN(SUBSTITUTE(TRIM(Stage!K522),",",""))+1)</f>
        <v>3</v>
      </c>
      <c r="I497" s="119">
        <f>Stage!O522+Stage!P522+Stage!N522+Stage!Q522+Stage!M522</f>
        <v>0</v>
      </c>
      <c r="J497" s="119">
        <f>IF(Stage!F522=0,0,I497/Stage!F522)</f>
        <v>0</v>
      </c>
      <c r="K497" s="120">
        <f t="shared" si="21"/>
        <v>31.088950298369983</v>
      </c>
      <c r="L497" s="120">
        <f t="shared" si="23"/>
        <v>38.05246938636342</v>
      </c>
      <c r="M497" s="119" t="str">
        <f t="shared" si="22"/>
        <v>보통</v>
      </c>
    </row>
    <row r="498" spans="1:13" ht="15.95" customHeight="1" x14ac:dyDescent="0.3">
      <c r="A498" s="117">
        <v>485</v>
      </c>
      <c r="B498" s="117" t="str">
        <f>Stage!C523</f>
        <v>N 485</v>
      </c>
      <c r="C498" s="117">
        <f>Stage!F523</f>
        <v>175</v>
      </c>
      <c r="D498" s="117">
        <f>IF(Stage!G523="",0,LEN(TRIM(Stage!G523))-LEN(SUBSTITUTE(TRIM(Stage!G523),",",""))+1)</f>
        <v>3</v>
      </c>
      <c r="E498" s="117">
        <f>IF(ISERROR(FIND(",",Stage!H523)),VALUE(Stage!H523),(VALUE(LEFT(Stage!H523,FIND(",",Stage!H523)-1))+VALUE(TRIM(MID(Stage!H523,FIND("|",SUBSTITUTE(Stage!H523,",","|",LEN(Stage!H523)-LEN(SUBSTITUTE(Stage!H523,",",""))))+1,100))))/2)</f>
        <v>3</v>
      </c>
      <c r="F498" s="117">
        <f>IF(ISERROR(FIND(",",Stage!I523)),VALUE(Stage!I523),(VALUE(LEFT(Stage!I523,FIND(",",Stage!I523)-1))+VALUE(TRIM(MID(Stage!I523,FIND("|",SUBSTITUTE(Stage!I523,",","|",LEN(Stage!I523)-LEN(SUBSTITUTE(Stage!I523,",",""))))+1,100))))/2)</f>
        <v>0.3</v>
      </c>
      <c r="G498" s="117">
        <f>IF(ISERROR(FIND(",",Stage!J523)),VALUE(Stage!J523),VALUE(LEFT(Stage!J523,FIND(",",Stage!J523)-1)))</f>
        <v>35</v>
      </c>
      <c r="H498" s="117">
        <f>IF(Stage!K523="",0,LEN(TRIM(Stage!K523))-LEN(SUBSTITUTE(TRIM(Stage!K523),",",""))+1)</f>
        <v>4</v>
      </c>
      <c r="I498" s="117">
        <f>Stage!O523+Stage!P523+Stage!N523+Stage!Q523+Stage!M523</f>
        <v>5</v>
      </c>
      <c r="J498" s="117">
        <f>IF(Stage!F523=0,0,I498/Stage!F523)</f>
        <v>2.8571428571428571E-2</v>
      </c>
      <c r="K498" s="118">
        <f t="shared" si="21"/>
        <v>45.073491128999954</v>
      </c>
      <c r="L498" s="118">
        <f t="shared" si="23"/>
        <v>39.068128804041336</v>
      </c>
      <c r="M498" s="117" t="str">
        <f t="shared" si="22"/>
        <v>어려움</v>
      </c>
    </row>
    <row r="499" spans="1:13" ht="15.95" customHeight="1" x14ac:dyDescent="0.3">
      <c r="A499" s="119">
        <v>486</v>
      </c>
      <c r="B499" s="119" t="str">
        <f>Stage!C524</f>
        <v>N 486</v>
      </c>
      <c r="C499" s="119">
        <f>Stage!F524</f>
        <v>185</v>
      </c>
      <c r="D499" s="119">
        <f>IF(Stage!G524="",0,LEN(TRIM(Stage!G524))-LEN(SUBSTITUTE(TRIM(Stage!G524),",",""))+1)</f>
        <v>3</v>
      </c>
      <c r="E499" s="119">
        <f>IF(ISERROR(FIND(",",Stage!H524)),VALUE(Stage!H524),(VALUE(LEFT(Stage!H524,FIND(",",Stage!H524)-1))+VALUE(TRIM(MID(Stage!H524,FIND("|",SUBSTITUTE(Stage!H524,",","|",LEN(Stage!H524)-LEN(SUBSTITUTE(Stage!H524,",",""))))+1,100))))/2)</f>
        <v>3</v>
      </c>
      <c r="F499" s="119">
        <f>IF(ISERROR(FIND(",",Stage!I524)),VALUE(Stage!I524),(VALUE(LEFT(Stage!I524,FIND(",",Stage!I524)-1))+VALUE(TRIM(MID(Stage!I524,FIND("|",SUBSTITUTE(Stage!I524,",","|",LEN(Stage!I524)-LEN(SUBSTITUTE(Stage!I524,",",""))))+1,100))))/2)</f>
        <v>0.2</v>
      </c>
      <c r="G499" s="119">
        <f>IF(ISERROR(FIND(",",Stage!J524)),VALUE(Stage!J524),VALUE(LEFT(Stage!J524,FIND(",",Stage!J524)-1)))</f>
        <v>37</v>
      </c>
      <c r="H499" s="119">
        <f>IF(Stage!K524="",0,LEN(TRIM(Stage!K524))-LEN(SUBSTITUTE(TRIM(Stage!K524),",",""))+1)</f>
        <v>4</v>
      </c>
      <c r="I499" s="119">
        <f>Stage!O524+Stage!P524+Stage!N524+Stage!Q524+Stage!M524</f>
        <v>7</v>
      </c>
      <c r="J499" s="119">
        <f>IF(Stage!F524=0,0,I499/Stage!F524)</f>
        <v>3.783783783783784E-2</v>
      </c>
      <c r="K499" s="120">
        <f t="shared" si="21"/>
        <v>47.624676220134596</v>
      </c>
      <c r="L499" s="120">
        <f t="shared" si="23"/>
        <v>38.226685414237984</v>
      </c>
      <c r="M499" s="119" t="str">
        <f t="shared" si="22"/>
        <v>어려움</v>
      </c>
    </row>
    <row r="500" spans="1:13" ht="15.95" customHeight="1" x14ac:dyDescent="0.3">
      <c r="A500" s="117">
        <v>487</v>
      </c>
      <c r="B500" s="117" t="str">
        <f>Stage!C525</f>
        <v>N 487</v>
      </c>
      <c r="C500" s="117">
        <f>Stage!F525</f>
        <v>145</v>
      </c>
      <c r="D500" s="117">
        <f>IF(Stage!G525="",0,LEN(TRIM(Stage!G525))-LEN(SUBSTITUTE(TRIM(Stage!G525),",",""))+1)</f>
        <v>3</v>
      </c>
      <c r="E500" s="117">
        <f>IF(ISERROR(FIND(",",Stage!H525)),VALUE(Stage!H525),(VALUE(LEFT(Stage!H525,FIND(",",Stage!H525)-1))+VALUE(TRIM(MID(Stage!H525,FIND("|",SUBSTITUTE(Stage!H525,",","|",LEN(Stage!H525)-LEN(SUBSTITUTE(Stage!H525,",",""))))+1,100))))/2)</f>
        <v>2.5</v>
      </c>
      <c r="F500" s="117">
        <f>IF(ISERROR(FIND(",",Stage!I525)),VALUE(Stage!I525),(VALUE(LEFT(Stage!I525,FIND(",",Stage!I525)-1))+VALUE(TRIM(MID(Stage!I525,FIND("|",SUBSTITUTE(Stage!I525,",","|",LEN(Stage!I525)-LEN(SUBSTITUTE(Stage!I525,",",""))))+1,100))))/2)</f>
        <v>0.4</v>
      </c>
      <c r="G500" s="117">
        <f>IF(ISERROR(FIND(",",Stage!J525)),VALUE(Stage!J525),VALUE(LEFT(Stage!J525,FIND(",",Stage!J525)-1)))</f>
        <v>36</v>
      </c>
      <c r="H500" s="117">
        <f>IF(Stage!K525="",0,LEN(TRIM(Stage!K525))-LEN(SUBSTITUTE(TRIM(Stage!K525),",",""))+1)</f>
        <v>3</v>
      </c>
      <c r="I500" s="117">
        <f>Stage!O525+Stage!P525+Stage!N525+Stage!Q525+Stage!M525</f>
        <v>0</v>
      </c>
      <c r="J500" s="117">
        <f>IF(Stage!F525=0,0,I500/Stage!F525)</f>
        <v>0</v>
      </c>
      <c r="K500" s="118">
        <f t="shared" si="21"/>
        <v>36.19728463294485</v>
      </c>
      <c r="L500" s="118">
        <f t="shared" si="23"/>
        <v>41.140218194885982</v>
      </c>
      <c r="M500" s="117" t="str">
        <f t="shared" si="22"/>
        <v>보통</v>
      </c>
    </row>
    <row r="501" spans="1:13" ht="15.95" customHeight="1" x14ac:dyDescent="0.3">
      <c r="A501" s="119">
        <v>488</v>
      </c>
      <c r="B501" s="119" t="str">
        <f>Stage!C526</f>
        <v>N 488</v>
      </c>
      <c r="C501" s="119">
        <f>Stage!F526</f>
        <v>105</v>
      </c>
      <c r="D501" s="119">
        <f>IF(Stage!G526="",0,LEN(TRIM(Stage!G526))-LEN(SUBSTITUTE(TRIM(Stage!G526),",",""))+1)</f>
        <v>3</v>
      </c>
      <c r="E501" s="119">
        <f>IF(ISERROR(FIND(",",Stage!H526)),VALUE(Stage!H526),(VALUE(LEFT(Stage!H526,FIND(",",Stage!H526)-1))+VALUE(TRIM(MID(Stage!H526,FIND("|",SUBSTITUTE(Stage!H526,",","|",LEN(Stage!H526)-LEN(SUBSTITUTE(Stage!H526,",",""))))+1,100))))/2)</f>
        <v>2</v>
      </c>
      <c r="F501" s="119">
        <f>IF(ISERROR(FIND(",",Stage!I526)),VALUE(Stage!I526),(VALUE(LEFT(Stage!I526,FIND(",",Stage!I526)-1))+VALUE(TRIM(MID(Stage!I526,FIND("|",SUBSTITUTE(Stage!I526,",","|",LEN(Stage!I526)-LEN(SUBSTITUTE(Stage!I526,",",""))))+1,100))))/2)</f>
        <v>0.5</v>
      </c>
      <c r="G501" s="119">
        <f>IF(ISERROR(FIND(",",Stage!J526)),VALUE(Stage!J526),VALUE(LEFT(Stage!J526,FIND(",",Stage!J526)-1)))</f>
        <v>26</v>
      </c>
      <c r="H501" s="119">
        <f>IF(Stage!K526="",0,LEN(TRIM(Stage!K526))-LEN(SUBSTITUTE(TRIM(Stage!K526),",",""))+1)</f>
        <v>3</v>
      </c>
      <c r="I501" s="119">
        <f>Stage!O526+Stage!P526+Stage!N526+Stage!Q526+Stage!M526</f>
        <v>0</v>
      </c>
      <c r="J501" s="119">
        <f>IF(Stage!F526=0,0,I501/Stage!F526)</f>
        <v>0</v>
      </c>
      <c r="K501" s="120">
        <f t="shared" si="21"/>
        <v>31.149024790740526</v>
      </c>
      <c r="L501" s="120">
        <f t="shared" si="23"/>
        <v>41.650455213112913</v>
      </c>
      <c r="M501" s="119" t="str">
        <f t="shared" si="22"/>
        <v>보통</v>
      </c>
    </row>
    <row r="502" spans="1:13" ht="15.95" customHeight="1" x14ac:dyDescent="0.3">
      <c r="A502" s="117">
        <v>489</v>
      </c>
      <c r="B502" s="117" t="str">
        <f>Stage!C527</f>
        <v>N 489</v>
      </c>
      <c r="C502" s="117">
        <f>Stage!F527</f>
        <v>180</v>
      </c>
      <c r="D502" s="117">
        <f>IF(Stage!G527="",0,LEN(TRIM(Stage!G527))-LEN(SUBSTITUTE(TRIM(Stage!G527),",",""))+1)</f>
        <v>3</v>
      </c>
      <c r="E502" s="117">
        <f>IF(ISERROR(FIND(",",Stage!H527)),VALUE(Stage!H527),(VALUE(LEFT(Stage!H527,FIND(",",Stage!H527)-1))+VALUE(TRIM(MID(Stage!H527,FIND("|",SUBSTITUTE(Stage!H527,",","|",LEN(Stage!H527)-LEN(SUBSTITUTE(Stage!H527,",",""))))+1,100))))/2)</f>
        <v>3</v>
      </c>
      <c r="F502" s="117">
        <f>IF(ISERROR(FIND(",",Stage!I527)),VALUE(Stage!I527),(VALUE(LEFT(Stage!I527,FIND(",",Stage!I527)-1))+VALUE(TRIM(MID(Stage!I527,FIND("|",SUBSTITUTE(Stage!I527,",","|",LEN(Stage!I527)-LEN(SUBSTITUTE(Stage!I527,",",""))))+1,100))))/2)</f>
        <v>0.3</v>
      </c>
      <c r="G502" s="117">
        <f>IF(ISERROR(FIND(",",Stage!J527)),VALUE(Stage!J527),VALUE(LEFT(Stage!J527,FIND(",",Stage!J527)-1)))</f>
        <v>36</v>
      </c>
      <c r="H502" s="117">
        <f>IF(Stage!K527="",0,LEN(TRIM(Stage!K527))-LEN(SUBSTITUTE(TRIM(Stage!K527),",",""))+1)</f>
        <v>4</v>
      </c>
      <c r="I502" s="117">
        <f>Stage!O527+Stage!P527+Stage!N527+Stage!Q527+Stage!M527</f>
        <v>6</v>
      </c>
      <c r="J502" s="117">
        <f>IF(Stage!F527=0,0,I502/Stage!F527)</f>
        <v>3.3333333333333333E-2</v>
      </c>
      <c r="K502" s="118">
        <f t="shared" si="21"/>
        <v>45.65661420160999</v>
      </c>
      <c r="L502" s="118">
        <f t="shared" si="23"/>
        <v>39.364976895674957</v>
      </c>
      <c r="M502" s="117" t="str">
        <f t="shared" si="22"/>
        <v>어려움</v>
      </c>
    </row>
    <row r="503" spans="1:13" ht="15.95" customHeight="1" x14ac:dyDescent="0.3">
      <c r="A503" s="119">
        <v>490</v>
      </c>
      <c r="B503" s="119" t="str">
        <f>Stage!C528</f>
        <v>N 490</v>
      </c>
      <c r="C503" s="119">
        <f>Stage!F528</f>
        <v>185</v>
      </c>
      <c r="D503" s="119">
        <f>IF(Stage!G528="",0,LEN(TRIM(Stage!G528))-LEN(SUBSTITUTE(TRIM(Stage!G528),",",""))+1)</f>
        <v>3</v>
      </c>
      <c r="E503" s="119">
        <f>IF(ISERROR(FIND(",",Stage!H528)),VALUE(Stage!H528),(VALUE(LEFT(Stage!H528,FIND(",",Stage!H528)-1))+VALUE(TRIM(MID(Stage!H528,FIND("|",SUBSTITUTE(Stage!H528,",","|",LEN(Stage!H528)-LEN(SUBSTITUTE(Stage!H528,",",""))))+1,100))))/2)</f>
        <v>3</v>
      </c>
      <c r="F503" s="119">
        <f>IF(ISERROR(FIND(",",Stage!I528)),VALUE(Stage!I528),(VALUE(LEFT(Stage!I528,FIND(",",Stage!I528)-1))+VALUE(TRIM(MID(Stage!I528,FIND("|",SUBSTITUTE(Stage!I528,",","|",LEN(Stage!I528)-LEN(SUBSTITUTE(Stage!I528,",",""))))+1,100))))/2)</f>
        <v>0.2</v>
      </c>
      <c r="G503" s="119">
        <f>IF(ISERROR(FIND(",",Stage!J528)),VALUE(Stage!J528),VALUE(LEFT(Stage!J528,FIND(",",Stage!J528)-1)))</f>
        <v>37</v>
      </c>
      <c r="H503" s="119">
        <f>IF(Stage!K528="",0,LEN(TRIM(Stage!K528))-LEN(SUBSTITUTE(TRIM(Stage!K528),",",""))+1)</f>
        <v>4</v>
      </c>
      <c r="I503" s="119">
        <f>Stage!O528+Stage!P528+Stage!N528+Stage!Q528+Stage!M528</f>
        <v>7</v>
      </c>
      <c r="J503" s="119">
        <f>IF(Stage!F528=0,0,I503/Stage!F528)</f>
        <v>3.783783783783784E-2</v>
      </c>
      <c r="K503" s="120">
        <f t="shared" si="21"/>
        <v>47.624676220134596</v>
      </c>
      <c r="L503" s="120">
        <f t="shared" si="23"/>
        <v>39.41207529769347</v>
      </c>
      <c r="M503" s="119" t="str">
        <f t="shared" si="22"/>
        <v>어려움</v>
      </c>
    </row>
    <row r="504" spans="1:13" ht="15.95" customHeight="1" x14ac:dyDescent="0.3">
      <c r="A504" s="117">
        <v>491</v>
      </c>
      <c r="B504" s="117" t="str">
        <f>Stage!C529</f>
        <v>N 491</v>
      </c>
      <c r="C504" s="117">
        <f>Stage!F529</f>
        <v>145</v>
      </c>
      <c r="D504" s="117">
        <f>IF(Stage!G529="",0,LEN(TRIM(Stage!G529))-LEN(SUBSTITUTE(TRIM(Stage!G529),",",""))+1)</f>
        <v>3</v>
      </c>
      <c r="E504" s="117">
        <f>IF(ISERROR(FIND(",",Stage!H529)),VALUE(Stage!H529),(VALUE(LEFT(Stage!H529,FIND(",",Stage!H529)-1))+VALUE(TRIM(MID(Stage!H529,FIND("|",SUBSTITUTE(Stage!H529,",","|",LEN(Stage!H529)-LEN(SUBSTITUTE(Stage!H529,",",""))))+1,100))))/2)</f>
        <v>2.5</v>
      </c>
      <c r="F504" s="117">
        <f>IF(ISERROR(FIND(",",Stage!I529)),VALUE(Stage!I529),(VALUE(LEFT(Stage!I529,FIND(",",Stage!I529)-1))+VALUE(TRIM(MID(Stage!I529,FIND("|",SUBSTITUTE(Stage!I529,",","|",LEN(Stage!I529)-LEN(SUBSTITUTE(Stage!I529,",",""))))+1,100))))/2)</f>
        <v>0.4</v>
      </c>
      <c r="G504" s="117">
        <f>IF(ISERROR(FIND(",",Stage!J529)),VALUE(Stage!J529),VALUE(LEFT(Stage!J529,FIND(",",Stage!J529)-1)))</f>
        <v>36</v>
      </c>
      <c r="H504" s="117">
        <f>IF(Stage!K529="",0,LEN(TRIM(Stage!K529))-LEN(SUBSTITUTE(TRIM(Stage!K529),",",""))+1)</f>
        <v>3</v>
      </c>
      <c r="I504" s="117">
        <f>Stage!O529+Stage!P529+Stage!N529+Stage!Q529+Stage!M529</f>
        <v>0</v>
      </c>
      <c r="J504" s="117">
        <f>IF(Stage!F529=0,0,I504/Stage!F529)</f>
        <v>0</v>
      </c>
      <c r="K504" s="118">
        <f t="shared" si="21"/>
        <v>36.19728463294485</v>
      </c>
      <c r="L504" s="118">
        <f t="shared" si="23"/>
        <v>43.076723461416478</v>
      </c>
      <c r="M504" s="117" t="str">
        <f t="shared" si="22"/>
        <v>보통</v>
      </c>
    </row>
    <row r="505" spans="1:13" ht="15.95" customHeight="1" x14ac:dyDescent="0.3">
      <c r="A505" s="119">
        <v>492</v>
      </c>
      <c r="B505" s="119" t="str">
        <f>Stage!C530</f>
        <v>N 492</v>
      </c>
      <c r="C505" s="119">
        <f>Stage!F530</f>
        <v>145</v>
      </c>
      <c r="D505" s="119">
        <f>IF(Stage!G530="",0,LEN(TRIM(Stage!G530))-LEN(SUBSTITUTE(TRIM(Stage!G530),",",""))+1)</f>
        <v>3</v>
      </c>
      <c r="E505" s="119">
        <f>IF(ISERROR(FIND(",",Stage!H530)),VALUE(Stage!H530),(VALUE(LEFT(Stage!H530,FIND(",",Stage!H530)-1))+VALUE(TRIM(MID(Stage!H530,FIND("|",SUBSTITUTE(Stage!H530,",","|",LEN(Stage!H530)-LEN(SUBSTITUTE(Stage!H530,",",""))))+1,100))))/2)</f>
        <v>2.5</v>
      </c>
      <c r="F505" s="119">
        <f>IF(ISERROR(FIND(",",Stage!I530)),VALUE(Stage!I530),(VALUE(LEFT(Stage!I530,FIND(",",Stage!I530)-1))+VALUE(TRIM(MID(Stage!I530,FIND("|",SUBSTITUTE(Stage!I530,",","|",LEN(Stage!I530)-LEN(SUBSTITUTE(Stage!I530,",",""))))+1,100))))/2)</f>
        <v>0.4</v>
      </c>
      <c r="G505" s="119">
        <f>IF(ISERROR(FIND(",",Stage!J530)),VALUE(Stage!J530),VALUE(LEFT(Stage!J530,FIND(",",Stage!J530)-1)))</f>
        <v>36</v>
      </c>
      <c r="H505" s="119">
        <f>IF(Stage!K530="",0,LEN(TRIM(Stage!K530))-LEN(SUBSTITUTE(TRIM(Stage!K530),",",""))+1)</f>
        <v>3</v>
      </c>
      <c r="I505" s="119">
        <f>Stage!O530+Stage!P530+Stage!N530+Stage!Q530+Stage!M530</f>
        <v>1</v>
      </c>
      <c r="J505" s="119">
        <f>IF(Stage!F530=0,0,I505/Stage!F530)</f>
        <v>6.8965517241379309E-3</v>
      </c>
      <c r="K505" s="120">
        <f t="shared" si="21"/>
        <v>36.432776643037371</v>
      </c>
      <c r="L505" s="120">
        <f t="shared" si="23"/>
        <v>43.038783082012685</v>
      </c>
      <c r="M505" s="119" t="str">
        <f t="shared" si="22"/>
        <v>보통</v>
      </c>
    </row>
    <row r="506" spans="1:13" ht="15.95" customHeight="1" x14ac:dyDescent="0.3">
      <c r="A506" s="117">
        <v>493</v>
      </c>
      <c r="B506" s="117" t="str">
        <f>Stage!C531</f>
        <v>N 493</v>
      </c>
      <c r="C506" s="117">
        <f>Stage!F531</f>
        <v>200</v>
      </c>
      <c r="D506" s="117">
        <f>IF(Stage!G531="",0,LEN(TRIM(Stage!G531))-LEN(SUBSTITUTE(TRIM(Stage!G531),",",""))+1)</f>
        <v>3</v>
      </c>
      <c r="E506" s="117">
        <f>IF(ISERROR(FIND(",",Stage!H531)),VALUE(Stage!H531),(VALUE(LEFT(Stage!H531,FIND(",",Stage!H531)-1))+VALUE(TRIM(MID(Stage!H531,FIND("|",SUBSTITUTE(Stage!H531,",","|",LEN(Stage!H531)-LEN(SUBSTITUTE(Stage!H531,",",""))))+1,100))))/2)</f>
        <v>3</v>
      </c>
      <c r="F506" s="117">
        <f>IF(ISERROR(FIND(",",Stage!I531)),VALUE(Stage!I531),(VALUE(LEFT(Stage!I531,FIND(",",Stage!I531)-1))+VALUE(TRIM(MID(Stage!I531,FIND("|",SUBSTITUTE(Stage!I531,",","|",LEN(Stage!I531)-LEN(SUBSTITUTE(Stage!I531,",",""))))+1,100))))/2)</f>
        <v>0.2</v>
      </c>
      <c r="G506" s="117">
        <f>IF(ISERROR(FIND(",",Stage!J531)),VALUE(Stage!J531),VALUE(LEFT(Stage!J531,FIND(",",Stage!J531)-1)))</f>
        <v>40</v>
      </c>
      <c r="H506" s="117">
        <f>IF(Stage!K531="",0,LEN(TRIM(Stage!K531))-LEN(SUBSTITUTE(TRIM(Stage!K531),",",""))+1)</f>
        <v>4</v>
      </c>
      <c r="I506" s="117">
        <f>Stage!O531+Stage!P531+Stage!N531+Stage!Q531+Stage!M531</f>
        <v>11</v>
      </c>
      <c r="J506" s="117">
        <f>IF(Stage!F531=0,0,I506/Stage!F531)</f>
        <v>5.5E-2</v>
      </c>
      <c r="K506" s="118">
        <f t="shared" si="21"/>
        <v>49.472265609355603</v>
      </c>
      <c r="L506" s="118">
        <f t="shared" si="23"/>
        <v>39.564991255823891</v>
      </c>
      <c r="M506" s="117" t="str">
        <f t="shared" si="22"/>
        <v>어려움</v>
      </c>
    </row>
    <row r="507" spans="1:13" ht="15.95" customHeight="1" x14ac:dyDescent="0.3">
      <c r="A507" s="119">
        <v>494</v>
      </c>
      <c r="B507" s="119" t="str">
        <f>Stage!C532</f>
        <v>N 494</v>
      </c>
      <c r="C507" s="119">
        <f>Stage!F532</f>
        <v>180</v>
      </c>
      <c r="D507" s="119">
        <f>IF(Stage!G532="",0,LEN(TRIM(Stage!G532))-LEN(SUBSTITUTE(TRIM(Stage!G532),",",""))+1)</f>
        <v>3</v>
      </c>
      <c r="E507" s="119">
        <f>IF(ISERROR(FIND(",",Stage!H532)),VALUE(Stage!H532),(VALUE(LEFT(Stage!H532,FIND(",",Stage!H532)-1))+VALUE(TRIM(MID(Stage!H532,FIND("|",SUBSTITUTE(Stage!H532,",","|",LEN(Stage!H532)-LEN(SUBSTITUTE(Stage!H532,",",""))))+1,100))))/2)</f>
        <v>3</v>
      </c>
      <c r="F507" s="119">
        <f>IF(ISERROR(FIND(",",Stage!I532)),VALUE(Stage!I532),(VALUE(LEFT(Stage!I532,FIND(",",Stage!I532)-1))+VALUE(TRIM(MID(Stage!I532,FIND("|",SUBSTITUTE(Stage!I532,",","|",LEN(Stage!I532)-LEN(SUBSTITUTE(Stage!I532,",",""))))+1,100))))/2)</f>
        <v>0.3</v>
      </c>
      <c r="G507" s="119">
        <f>IF(ISERROR(FIND(",",Stage!J532)),VALUE(Stage!J532),VALUE(LEFT(Stage!J532,FIND(",",Stage!J532)-1)))</f>
        <v>36</v>
      </c>
      <c r="H507" s="119">
        <f>IF(Stage!K532="",0,LEN(TRIM(Stage!K532))-LEN(SUBSTITUTE(TRIM(Stage!K532),",",""))+1)</f>
        <v>4</v>
      </c>
      <c r="I507" s="119">
        <f>Stage!O532+Stage!P532+Stage!N532+Stage!Q532+Stage!M532</f>
        <v>5</v>
      </c>
      <c r="J507" s="119">
        <f>IF(Stage!F532=0,0,I507/Stage!F532)</f>
        <v>2.7777777777777776E-2</v>
      </c>
      <c r="K507" s="120">
        <f t="shared" si="21"/>
        <v>45.46691230459102</v>
      </c>
      <c r="L507" s="120">
        <f t="shared" si="23"/>
        <v>39.564991255823891</v>
      </c>
      <c r="M507" s="119" t="str">
        <f t="shared" si="22"/>
        <v>어려움</v>
      </c>
    </row>
    <row r="508" spans="1:13" ht="15.95" customHeight="1" x14ac:dyDescent="0.3">
      <c r="A508" s="117">
        <v>495</v>
      </c>
      <c r="B508" s="117" t="str">
        <f>Stage!C533</f>
        <v>N 495</v>
      </c>
      <c r="C508" s="117">
        <f>Stage!F533</f>
        <v>95</v>
      </c>
      <c r="D508" s="117">
        <f>IF(Stage!G533="",0,LEN(TRIM(Stage!G533))-LEN(SUBSTITUTE(TRIM(Stage!G533),",",""))+1)</f>
        <v>2</v>
      </c>
      <c r="E508" s="117">
        <f>IF(ISERROR(FIND(",",Stage!H533)),VALUE(Stage!H533),(VALUE(LEFT(Stage!H533,FIND(",",Stage!H533)-1))+VALUE(TRIM(MID(Stage!H533,FIND("|",SUBSTITUTE(Stage!H533,",","|",LEN(Stage!H533)-LEN(SUBSTITUTE(Stage!H533,",",""))))+1,100))))/2)</f>
        <v>2</v>
      </c>
      <c r="F508" s="117">
        <f>IF(ISERROR(FIND(",",Stage!I533)),VALUE(Stage!I533),(VALUE(LEFT(Stage!I533,FIND(",",Stage!I533)-1))+VALUE(TRIM(MID(Stage!I533,FIND("|",SUBSTITUTE(Stage!I533,",","|",LEN(Stage!I533)-LEN(SUBSTITUTE(Stage!I533,",",""))))+1,100))))/2)</f>
        <v>0.6</v>
      </c>
      <c r="G508" s="117">
        <f>IF(ISERROR(FIND(",",Stage!J533)),VALUE(Stage!J533),VALUE(LEFT(Stage!J533,FIND(",",Stage!J533)-1)))</f>
        <v>19</v>
      </c>
      <c r="H508" s="117">
        <f>IF(Stage!K533="",0,LEN(TRIM(Stage!K533))-LEN(SUBSTITUTE(TRIM(Stage!K533),",",""))+1)</f>
        <v>4</v>
      </c>
      <c r="I508" s="117">
        <f>Stage!O533+Stage!P533+Stage!N533+Stage!Q533+Stage!M533</f>
        <v>0</v>
      </c>
      <c r="J508" s="117">
        <f>IF(Stage!F533=0,0,I508/Stage!F533)</f>
        <v>0</v>
      </c>
      <c r="K508" s="118">
        <f t="shared" si="21"/>
        <v>30.255717089190593</v>
      </c>
      <c r="L508" s="118">
        <f t="shared" si="23"/>
        <v>39.349684275167874</v>
      </c>
      <c r="M508" s="117" t="str">
        <f t="shared" si="22"/>
        <v>보통</v>
      </c>
    </row>
    <row r="509" spans="1:13" ht="15.95" customHeight="1" x14ac:dyDescent="0.3">
      <c r="A509" s="119">
        <v>496</v>
      </c>
      <c r="B509" s="119" t="str">
        <f>Stage!C534</f>
        <v>N 496</v>
      </c>
      <c r="C509" s="119">
        <f>Stage!F534</f>
        <v>145</v>
      </c>
      <c r="D509" s="119">
        <f>IF(Stage!G534="",0,LEN(TRIM(Stage!G534))-LEN(SUBSTITUTE(TRIM(Stage!G534),",",""))+1)</f>
        <v>3</v>
      </c>
      <c r="E509" s="119">
        <f>IF(ISERROR(FIND(",",Stage!H534)),VALUE(Stage!H534),(VALUE(LEFT(Stage!H534,FIND(",",Stage!H534)-1))+VALUE(TRIM(MID(Stage!H534,FIND("|",SUBSTITUTE(Stage!H534,",","|",LEN(Stage!H534)-LEN(SUBSTITUTE(Stage!H534,",",""))))+1,100))))/2)</f>
        <v>2.5</v>
      </c>
      <c r="F509" s="119">
        <f>IF(ISERROR(FIND(",",Stage!I534)),VALUE(Stage!I534),(VALUE(LEFT(Stage!I534,FIND(",",Stage!I534)-1))+VALUE(TRIM(MID(Stage!I534,FIND("|",SUBSTITUTE(Stage!I534,",","|",LEN(Stage!I534)-LEN(SUBSTITUTE(Stage!I534,",",""))))+1,100))))/2)</f>
        <v>0.4</v>
      </c>
      <c r="G509" s="119">
        <f>IF(ISERROR(FIND(",",Stage!J534)),VALUE(Stage!J534),VALUE(LEFT(Stage!J534,FIND(",",Stage!J534)-1)))</f>
        <v>36</v>
      </c>
      <c r="H509" s="119">
        <f>IF(Stage!K534="",0,LEN(TRIM(Stage!K534))-LEN(SUBSTITUTE(TRIM(Stage!K534),",",""))+1)</f>
        <v>3</v>
      </c>
      <c r="I509" s="119">
        <f>Stage!O534+Stage!P534+Stage!N534+Stage!Q534+Stage!M534</f>
        <v>0</v>
      </c>
      <c r="J509" s="119">
        <f>IF(Stage!F534=0,0,I509/Stage!F534)</f>
        <v>0</v>
      </c>
      <c r="K509" s="120">
        <f t="shared" si="21"/>
        <v>36.19728463294485</v>
      </c>
      <c r="L509" s="120">
        <f t="shared" si="23"/>
        <v>34.7767097868023</v>
      </c>
      <c r="M509" s="119" t="str">
        <f t="shared" si="22"/>
        <v>보통</v>
      </c>
    </row>
    <row r="510" spans="1:13" ht="15.95" customHeight="1" x14ac:dyDescent="0.3">
      <c r="A510" s="117">
        <v>497</v>
      </c>
      <c r="B510" s="117" t="str">
        <f>Stage!C535</f>
        <v>N 497</v>
      </c>
      <c r="C510" s="117">
        <f>Stage!F535</f>
        <v>135</v>
      </c>
      <c r="D510" s="117">
        <f>IF(Stage!G535="",0,LEN(TRIM(Stage!G535))-LEN(SUBSTITUTE(TRIM(Stage!G535),",",""))+1)</f>
        <v>3</v>
      </c>
      <c r="E510" s="117">
        <f>IF(ISERROR(FIND(",",Stage!H535)),VALUE(Stage!H535),(VALUE(LEFT(Stage!H535,FIND(",",Stage!H535)-1))+VALUE(TRIM(MID(Stage!H535,FIND("|",SUBSTITUTE(Stage!H535,",","|",LEN(Stage!H535)-LEN(SUBSTITUTE(Stage!H535,",",""))))+1,100))))/2)</f>
        <v>2.5</v>
      </c>
      <c r="F510" s="117">
        <f>IF(ISERROR(FIND(",",Stage!I535)),VALUE(Stage!I535),(VALUE(LEFT(Stage!I535,FIND(",",Stage!I535)-1))+VALUE(TRIM(MID(Stage!I535,FIND("|",SUBSTITUTE(Stage!I535,",","|",LEN(Stage!I535)-LEN(SUBSTITUTE(Stage!I535,",",""))))+1,100))))/2)</f>
        <v>0.4</v>
      </c>
      <c r="G510" s="117">
        <f>IF(ISERROR(FIND(",",Stage!J535)),VALUE(Stage!J535),VALUE(LEFT(Stage!J535,FIND(",",Stage!J535)-1)))</f>
        <v>33</v>
      </c>
      <c r="H510" s="117">
        <f>IF(Stage!K535="",0,LEN(TRIM(Stage!K535))-LEN(SUBSTITUTE(TRIM(Stage!K535),",",""))+1)</f>
        <v>3</v>
      </c>
      <c r="I510" s="117">
        <f>Stage!O535+Stage!P535+Stage!N535+Stage!Q535+Stage!M535</f>
        <v>0</v>
      </c>
      <c r="J510" s="117">
        <f>IF(Stage!F535=0,0,I510/Stage!F535)</f>
        <v>0</v>
      </c>
      <c r="K510" s="118">
        <f t="shared" si="21"/>
        <v>35.356241739757294</v>
      </c>
      <c r="L510" s="118">
        <f t="shared" si="23"/>
        <v>34.698025551684083</v>
      </c>
      <c r="M510" s="117" t="str">
        <f t="shared" si="22"/>
        <v>보통</v>
      </c>
    </row>
    <row r="511" spans="1:13" ht="15.95" customHeight="1" x14ac:dyDescent="0.3">
      <c r="A511" s="119">
        <v>498</v>
      </c>
      <c r="B511" s="119" t="str">
        <f>Stage!C536</f>
        <v>N 498</v>
      </c>
      <c r="C511" s="119">
        <f>Stage!F536</f>
        <v>80</v>
      </c>
      <c r="D511" s="119">
        <f>IF(Stage!G536="",0,LEN(TRIM(Stage!G536))-LEN(SUBSTITUTE(TRIM(Stage!G536),",",""))+1)</f>
        <v>2</v>
      </c>
      <c r="E511" s="119">
        <f>IF(ISERROR(FIND(",",Stage!H536)),VALUE(Stage!H536),(VALUE(LEFT(Stage!H536,FIND(",",Stage!H536)-1))+VALUE(TRIM(MID(Stage!H536,FIND("|",SUBSTITUTE(Stage!H536,",","|",LEN(Stage!H536)-LEN(SUBSTITUTE(Stage!H536,",",""))))+1,100))))/2)</f>
        <v>2</v>
      </c>
      <c r="F511" s="119">
        <f>IF(ISERROR(FIND(",",Stage!I536)),VALUE(Stage!I536),(VALUE(LEFT(Stage!I536,FIND(",",Stage!I536)-1))+VALUE(TRIM(MID(Stage!I536,FIND("|",SUBSTITUTE(Stage!I536,",","|",LEN(Stage!I536)-LEN(SUBSTITUTE(Stage!I536,",",""))))+1,100))))/2)</f>
        <v>0.6</v>
      </c>
      <c r="G511" s="119">
        <f>IF(ISERROR(FIND(",",Stage!J536)),VALUE(Stage!J536),VALUE(LEFT(Stage!J536,FIND(",",Stage!J536)-1)))</f>
        <v>20</v>
      </c>
      <c r="H511" s="119">
        <f>IF(Stage!K536="",0,LEN(TRIM(Stage!K536))-LEN(SUBSTITUTE(TRIM(Stage!K536),",",""))+1)</f>
        <v>3</v>
      </c>
      <c r="I511" s="119">
        <f>Stage!O536+Stage!P536+Stage!N536+Stage!Q536+Stage!M536</f>
        <v>0</v>
      </c>
      <c r="J511" s="119">
        <f>IF(Stage!F536=0,0,I511/Stage!F536)</f>
        <v>0</v>
      </c>
      <c r="K511" s="120">
        <f t="shared" si="21"/>
        <v>26.607393167527732</v>
      </c>
      <c r="L511" s="120">
        <f t="shared" si="23"/>
        <v>36.893007329088064</v>
      </c>
      <c r="M511" s="119" t="str">
        <f t="shared" si="22"/>
        <v>보통</v>
      </c>
    </row>
    <row r="512" spans="1:13" ht="15.95" customHeight="1" x14ac:dyDescent="0.3">
      <c r="A512" s="117">
        <v>499</v>
      </c>
      <c r="B512" s="117" t="str">
        <f>Stage!C537</f>
        <v>N 499</v>
      </c>
      <c r="C512" s="117">
        <f>Stage!F537</f>
        <v>175</v>
      </c>
      <c r="D512" s="117">
        <f>IF(Stage!G537="",0,LEN(TRIM(Stage!G537))-LEN(SUBSTITUTE(TRIM(Stage!G537),",",""))+1)</f>
        <v>3</v>
      </c>
      <c r="E512" s="117">
        <f>IF(ISERROR(FIND(",",Stage!H537)),VALUE(Stage!H537),(VALUE(LEFT(Stage!H537,FIND(",",Stage!H537)-1))+VALUE(TRIM(MID(Stage!H537,FIND("|",SUBSTITUTE(Stage!H537,",","|",LEN(Stage!H537)-LEN(SUBSTITUTE(Stage!H537,",",""))))+1,100))))/2)</f>
        <v>3</v>
      </c>
      <c r="F512" s="117">
        <f>IF(ISERROR(FIND(",",Stage!I537)),VALUE(Stage!I537),(VALUE(LEFT(Stage!I537,FIND(",",Stage!I537)-1))+VALUE(TRIM(MID(Stage!I537,FIND("|",SUBSTITUTE(Stage!I537,",","|",LEN(Stage!I537)-LEN(SUBSTITUTE(Stage!I537,",",""))))+1,100))))/2)</f>
        <v>0.3</v>
      </c>
      <c r="G512" s="117">
        <f>IF(ISERROR(FIND(",",Stage!J537)),VALUE(Stage!J537),VALUE(LEFT(Stage!J537,FIND(",",Stage!J537)-1)))</f>
        <v>35</v>
      </c>
      <c r="H512" s="117">
        <f>IF(Stage!K537="",0,LEN(TRIM(Stage!K537))-LEN(SUBSTITUTE(TRIM(Stage!K537),",",""))+1)</f>
        <v>4</v>
      </c>
      <c r="I512" s="117">
        <f>Stage!O537+Stage!P537+Stage!N537+Stage!Q537+Stage!M537</f>
        <v>5</v>
      </c>
      <c r="J512" s="117">
        <f>IF(Stage!F537=0,0,I512/Stage!F537)</f>
        <v>2.8571428571428571E-2</v>
      </c>
      <c r="K512" s="118">
        <f t="shared" si="21"/>
        <v>45.073491128999954</v>
      </c>
      <c r="L512" s="118">
        <f>AVERAGE(K510:K513)</f>
        <v>37.066938003123866</v>
      </c>
      <c r="M512" s="117" t="str">
        <f t="shared" si="22"/>
        <v>어려움</v>
      </c>
    </row>
    <row r="513" spans="1:13" ht="15.95" customHeight="1" x14ac:dyDescent="0.3">
      <c r="A513" s="119">
        <v>500</v>
      </c>
      <c r="B513" s="119" t="str">
        <f>Stage!C538</f>
        <v>N 500</v>
      </c>
      <c r="C513" s="119">
        <f>Stage!F538</f>
        <v>160</v>
      </c>
      <c r="D513" s="119">
        <f>IF(Stage!G538="",0,LEN(TRIM(Stage!G538))-LEN(SUBSTITUTE(TRIM(Stage!G538),",",""))+1)</f>
        <v>3</v>
      </c>
      <c r="E513" s="119">
        <f>IF(ISERROR(FIND(",",Stage!H538)),VALUE(Stage!H538),(VALUE(LEFT(Stage!H538,FIND(",",Stage!H538)-1))+VALUE(TRIM(MID(Stage!H538,FIND("|",SUBSTITUTE(Stage!H538,",","|",LEN(Stage!H538)-LEN(SUBSTITUTE(Stage!H538,",",""))))+1,100))))/2)</f>
        <v>2.5</v>
      </c>
      <c r="F513" s="119">
        <f>IF(ISERROR(FIND(",",Stage!I538)),VALUE(Stage!I538),(VALUE(LEFT(Stage!I538,FIND(",",Stage!I538)-1))+VALUE(TRIM(MID(Stage!I538,FIND("|",SUBSTITUTE(Stage!I538,",","|",LEN(Stage!I538)-LEN(SUBSTITUTE(Stage!I538,",",""))))+1,100))))/2)</f>
        <v>0.3</v>
      </c>
      <c r="G513" s="119">
        <f>IF(ISERROR(FIND(",",Stage!J538)),VALUE(Stage!J538),VALUE(LEFT(Stage!J538,FIND(",",Stage!J538)-1)))</f>
        <v>32</v>
      </c>
      <c r="H513" s="119">
        <f>IF(Stage!K538="",0,LEN(TRIM(Stage!K538))-LEN(SUBSTITUTE(TRIM(Stage!K538),",",""))+1)</f>
        <v>4</v>
      </c>
      <c r="I513" s="119">
        <f>Stage!O538+Stage!P538+Stage!N538+Stage!Q538+Stage!M538</f>
        <v>2</v>
      </c>
      <c r="J513" s="119">
        <f>IF(Stage!F538=0,0,I513/Stage!F538)</f>
        <v>1.2500000000000001E-2</v>
      </c>
      <c r="K513" s="120">
        <f t="shared" si="21"/>
        <v>41.230625976210497</v>
      </c>
      <c r="L513" s="120">
        <f>AVERAGE(K511:K513)</f>
        <v>37.637170090912726</v>
      </c>
      <c r="M513" s="119" t="str">
        <f t="shared" si="22"/>
        <v>보통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E73"/>
  <sheetViews>
    <sheetView workbookViewId="0">
      <selection activeCell="S23" sqref="S23"/>
    </sheetView>
  </sheetViews>
  <sheetFormatPr defaultRowHeight="16.5" x14ac:dyDescent="0.3"/>
  <cols>
    <col min="2" max="2" width="12" style="102" customWidth="1"/>
    <col min="3" max="3" width="14" style="102" customWidth="1"/>
    <col min="4" max="5" width="10" style="102" customWidth="1"/>
  </cols>
  <sheetData>
    <row r="1" spans="2:2" ht="24" customHeight="1" x14ac:dyDescent="0.3">
      <c r="B1" s="121" t="s">
        <v>826</v>
      </c>
    </row>
    <row r="2" spans="2:2" ht="18" customHeight="1" x14ac:dyDescent="0.3">
      <c r="B2" s="122" t="s">
        <v>827</v>
      </c>
    </row>
    <row r="22" spans="2:5" x14ac:dyDescent="0.3">
      <c r="B22" s="109" t="s">
        <v>828</v>
      </c>
    </row>
    <row r="23" spans="2:5" x14ac:dyDescent="0.3">
      <c r="B23" s="110" t="s">
        <v>829</v>
      </c>
      <c r="C23" s="110" t="s">
        <v>830</v>
      </c>
      <c r="D23" s="110" t="s">
        <v>831</v>
      </c>
      <c r="E23" s="110" t="s">
        <v>832</v>
      </c>
    </row>
    <row r="24" spans="2:5" ht="15.95" customHeight="1" x14ac:dyDescent="0.3">
      <c r="B24" s="123" t="s">
        <v>833</v>
      </c>
      <c r="C24" s="124">
        <f>AVERAGE('#난이도_계산'!K14:K23)</f>
        <v>23.864251672073372</v>
      </c>
      <c r="D24" s="124">
        <f>MIN('#난이도_계산'!K14:K23)</f>
        <v>21.629220233089033</v>
      </c>
      <c r="E24" s="124">
        <f>MAX('#난이도_계산'!K14:K23)</f>
        <v>31.589370819816576</v>
      </c>
    </row>
    <row r="25" spans="2:5" ht="15.95" customHeight="1" x14ac:dyDescent="0.3">
      <c r="B25" s="125" t="s">
        <v>834</v>
      </c>
      <c r="C25" s="126">
        <f>AVERAGE('#난이도_계산'!K24:K33)</f>
        <v>32.070787776843282</v>
      </c>
      <c r="D25" s="126">
        <f>MIN('#난이도_계산'!K24:K33)</f>
        <v>22.094797548960717</v>
      </c>
      <c r="E25" s="126">
        <f>MAX('#난이도_계산'!K24:K33)</f>
        <v>42.826104369418083</v>
      </c>
    </row>
    <row r="26" spans="2:5" ht="15.95" customHeight="1" x14ac:dyDescent="0.3">
      <c r="B26" s="127" t="s">
        <v>835</v>
      </c>
      <c r="C26" s="128">
        <f>AVERAGE('#난이도_계산'!K34:K43)</f>
        <v>39.33605671032079</v>
      </c>
      <c r="D26" s="128">
        <f>MIN('#난이도_계산'!K34:K43)</f>
        <v>30.270735712283237</v>
      </c>
      <c r="E26" s="128">
        <f>MAX('#난이도_계산'!K34:K43)</f>
        <v>47.173695382274012</v>
      </c>
    </row>
    <row r="27" spans="2:5" ht="15.95" customHeight="1" x14ac:dyDescent="0.3">
      <c r="B27" s="129" t="s">
        <v>836</v>
      </c>
      <c r="C27" s="130">
        <f>AVERAGE('#난이도_계산'!K44:K53)</f>
        <v>31.863971324442311</v>
      </c>
      <c r="D27" s="130">
        <f>MIN('#난이도_계산'!K44:K53)</f>
        <v>26.607393167527732</v>
      </c>
      <c r="E27" s="130">
        <f>MAX('#난이도_계산'!K44:K53)</f>
        <v>43.677359926308618</v>
      </c>
    </row>
    <row r="28" spans="2:5" ht="15.95" customHeight="1" x14ac:dyDescent="0.3">
      <c r="B28" s="131" t="s">
        <v>837</v>
      </c>
      <c r="C28" s="132">
        <f>AVERAGE('#난이도_계산'!K54:K63)</f>
        <v>31.448355961392128</v>
      </c>
      <c r="D28" s="132">
        <f>MIN('#난이도_계산'!K54:K63)</f>
        <v>22.094797548960717</v>
      </c>
      <c r="E28" s="132">
        <f>MAX('#난이도_계산'!K54:K63)</f>
        <v>40.803796707917819</v>
      </c>
    </row>
    <row r="29" spans="2:5" ht="15.95" customHeight="1" x14ac:dyDescent="0.3">
      <c r="B29" s="123" t="s">
        <v>838</v>
      </c>
      <c r="C29" s="124">
        <f>AVERAGE('#난이도_계산'!K64:K73)</f>
        <v>29.58895029836998</v>
      </c>
      <c r="D29" s="124">
        <f>MIN('#난이도_계산'!K64:K73)</f>
        <v>22.10981617205335</v>
      </c>
      <c r="E29" s="124">
        <f>MAX('#난이도_계산'!K64:K73)</f>
        <v>35.776763186351076</v>
      </c>
    </row>
    <row r="30" spans="2:5" ht="15.95" customHeight="1" x14ac:dyDescent="0.3">
      <c r="B30" s="125" t="s">
        <v>839</v>
      </c>
      <c r="C30" s="126">
        <f>AVERAGE('#난이도_계산'!K74:K83)</f>
        <v>34.767914567004269</v>
      </c>
      <c r="D30" s="126">
        <f>MIN('#난이도_계산'!K74:K83)</f>
        <v>30.255717089190593</v>
      </c>
      <c r="E30" s="126">
        <f>MAX('#난이도_계산'!K74:K83)</f>
        <v>46.481236733549608</v>
      </c>
    </row>
    <row r="31" spans="2:5" ht="15.95" customHeight="1" x14ac:dyDescent="0.3">
      <c r="B31" s="127" t="s">
        <v>840</v>
      </c>
      <c r="C31" s="128">
        <f>AVERAGE('#난이도_계산'!K84:K93)</f>
        <v>34.029530996814422</v>
      </c>
      <c r="D31" s="128">
        <f>MIN('#난이도_계산'!K84:K93)</f>
        <v>27.072970483399416</v>
      </c>
      <c r="E31" s="128">
        <f>MAX('#난이도_계산'!K84:K93)</f>
        <v>47.070951763971117</v>
      </c>
    </row>
    <row r="32" spans="2:5" ht="15.95" customHeight="1" x14ac:dyDescent="0.3">
      <c r="B32" s="129" t="s">
        <v>841</v>
      </c>
      <c r="C32" s="130">
        <f>AVERAGE('#난이도_계산'!K94:K103)</f>
        <v>31.06284893267652</v>
      </c>
      <c r="D32" s="130">
        <f>MIN('#난이도_계산'!K94:K103)</f>
        <v>21.629220233089033</v>
      </c>
      <c r="E32" s="130">
        <f>MAX('#난이도_계산'!K94:K103)</f>
        <v>41.444040610356844</v>
      </c>
    </row>
    <row r="33" spans="2:5" ht="15.95" customHeight="1" x14ac:dyDescent="0.3">
      <c r="B33" s="131" t="s">
        <v>842</v>
      </c>
      <c r="C33" s="132">
        <f>AVERAGE('#난이도_계산'!K104:K113)</f>
        <v>32.387528535383879</v>
      </c>
      <c r="D33" s="132">
        <f>MIN('#난이도_계산'!K104:K113)</f>
        <v>21.629220233089033</v>
      </c>
      <c r="E33" s="132">
        <f>MAX('#난이도_계산'!K104:K113)</f>
        <v>49.472265609355603</v>
      </c>
    </row>
    <row r="34" spans="2:5" ht="15.95" customHeight="1" x14ac:dyDescent="0.3">
      <c r="B34" s="123" t="s">
        <v>843</v>
      </c>
      <c r="C34" s="124">
        <f>AVERAGE('#난이도_계산'!K114:K123)</f>
        <v>34.776052304858027</v>
      </c>
      <c r="D34" s="124">
        <f>MIN('#난이도_계산'!K114:K123)</f>
        <v>30.270735712283237</v>
      </c>
      <c r="E34" s="124">
        <f>MAX('#난이도_계산'!K114:K123)</f>
        <v>45.073491128999954</v>
      </c>
    </row>
    <row r="35" spans="2:5" ht="15.95" customHeight="1" x14ac:dyDescent="0.3">
      <c r="B35" s="125" t="s">
        <v>844</v>
      </c>
      <c r="C35" s="126">
        <f>AVERAGE('#난이도_계산'!K124:K133)</f>
        <v>42.515046478487669</v>
      </c>
      <c r="D35" s="126">
        <f>MIN('#난이도_계산'!K124:K133)</f>
        <v>31.149024790740526</v>
      </c>
      <c r="E35" s="126">
        <f>MAX('#난이도_계산'!K124:K133)</f>
        <v>49.472265609355603</v>
      </c>
    </row>
    <row r="36" spans="2:5" ht="15.95" customHeight="1" x14ac:dyDescent="0.3">
      <c r="B36" s="127" t="s">
        <v>845</v>
      </c>
      <c r="C36" s="128">
        <f>AVERAGE('#난이도_계산'!K134:K143)</f>
        <v>46.381939767473824</v>
      </c>
      <c r="D36" s="128">
        <f>MIN('#난이도_계산'!K134:K143)</f>
        <v>36.845448355961388</v>
      </c>
      <c r="E36" s="128">
        <f>MAX('#난이도_계산'!K134:K143)</f>
        <v>49.472265609355603</v>
      </c>
    </row>
    <row r="37" spans="2:5" ht="15.95" customHeight="1" x14ac:dyDescent="0.3">
      <c r="B37" s="129" t="s">
        <v>846</v>
      </c>
      <c r="C37" s="130">
        <f>AVERAGE('#난이도_계산'!K144:K153)</f>
        <v>40.255191709066494</v>
      </c>
      <c r="D37" s="130">
        <f>MIN('#난이도_계산'!K144:K153)</f>
        <v>35.356241739757294</v>
      </c>
      <c r="E37" s="130">
        <f>MAX('#난이도_계산'!K144:K153)</f>
        <v>49.472265609355603</v>
      </c>
    </row>
    <row r="38" spans="2:5" ht="15.95" customHeight="1" x14ac:dyDescent="0.3">
      <c r="B38" s="131" t="s">
        <v>847</v>
      </c>
      <c r="C38" s="132">
        <f>AVERAGE('#난이도_계산'!K154:K163)</f>
        <v>39.196075313376056</v>
      </c>
      <c r="D38" s="132">
        <f>MIN('#난이도_계산'!K154:K163)</f>
        <v>27.057951860306783</v>
      </c>
      <c r="E38" s="132">
        <f>MAX('#난이도_계산'!K154:K163)</f>
        <v>47.624676220134596</v>
      </c>
    </row>
    <row r="39" spans="2:5" ht="15.95" customHeight="1" x14ac:dyDescent="0.3">
      <c r="B39" s="123" t="s">
        <v>848</v>
      </c>
      <c r="C39" s="124">
        <f>AVERAGE('#난이도_계산'!K164:K173)</f>
        <v>34.655671267666023</v>
      </c>
      <c r="D39" s="124">
        <f>MIN('#난이도_계산'!K164:K173)</f>
        <v>21.629220233089033</v>
      </c>
      <c r="E39" s="124">
        <f>MAX('#난이도_계산'!K164:K173)</f>
        <v>44.480803254859552</v>
      </c>
    </row>
    <row r="40" spans="2:5" ht="15.95" customHeight="1" x14ac:dyDescent="0.3">
      <c r="B40" s="125" t="s">
        <v>849</v>
      </c>
      <c r="C40" s="126">
        <f>AVERAGE('#난이도_계산'!K174:K183)</f>
        <v>39.994605078380502</v>
      </c>
      <c r="D40" s="126">
        <f>MIN('#난이도_계산'!K174:K183)</f>
        <v>35.356241739757294</v>
      </c>
      <c r="E40" s="126">
        <f>MAX('#난이도_계산'!K174:K183)</f>
        <v>49.472265609355603</v>
      </c>
    </row>
    <row r="41" spans="2:5" ht="15.95" customHeight="1" x14ac:dyDescent="0.3">
      <c r="B41" s="127" t="s">
        <v>850</v>
      </c>
      <c r="C41" s="128">
        <f>AVERAGE('#난이도_계산'!K184:K193)</f>
        <v>38.906804592775259</v>
      </c>
      <c r="D41" s="128">
        <f>MIN('#난이도_계산'!K184:K193)</f>
        <v>31.088950298369983</v>
      </c>
      <c r="E41" s="128">
        <f>MAX('#난이도_계산'!K184:K193)</f>
        <v>49.472265609355603</v>
      </c>
    </row>
    <row r="42" spans="2:5" ht="15.95" customHeight="1" x14ac:dyDescent="0.3">
      <c r="B42" s="129" t="s">
        <v>851</v>
      </c>
      <c r="C42" s="130">
        <f>AVERAGE('#난이도_계산'!K194:K203)</f>
        <v>36.68934676860269</v>
      </c>
      <c r="D42" s="130">
        <f>MIN('#난이도_계산'!K194:K203)</f>
        <v>30.270735712283237</v>
      </c>
      <c r="E42" s="130">
        <f>MAX('#난이도_계산'!K194:K203)</f>
        <v>47.050342424606512</v>
      </c>
    </row>
    <row r="43" spans="2:5" ht="15.95" customHeight="1" x14ac:dyDescent="0.3">
      <c r="B43" s="131" t="s">
        <v>852</v>
      </c>
      <c r="C43" s="132">
        <f>AVERAGE('#난이도_계산'!K204:K213)</f>
        <v>35.941667646491268</v>
      </c>
      <c r="D43" s="132">
        <f>MIN('#난이도_계산'!K204:K213)</f>
        <v>23.007929832992914</v>
      </c>
      <c r="E43" s="132">
        <f>MAX('#난이도_계산'!K204:K213)</f>
        <v>49.472265609355603</v>
      </c>
    </row>
    <row r="44" spans="2:5" ht="15.95" customHeight="1" x14ac:dyDescent="0.3">
      <c r="B44" s="123" t="s">
        <v>853</v>
      </c>
      <c r="C44" s="124">
        <f>AVERAGE('#난이도_계산'!K214:K223)</f>
        <v>38.48240361537249</v>
      </c>
      <c r="D44" s="124">
        <f>MIN('#난이도_계산'!K214:K223)</f>
        <v>30.668428851776209</v>
      </c>
      <c r="E44" s="124">
        <f>MAX('#난이도_계산'!K214:K223)</f>
        <v>47.624676220134596</v>
      </c>
    </row>
    <row r="45" spans="2:5" ht="15.95" customHeight="1" x14ac:dyDescent="0.3">
      <c r="B45" s="125" t="s">
        <v>854</v>
      </c>
      <c r="C45" s="126">
        <f>AVERAGE('#난이도_계산'!K224:K233)</f>
        <v>44.459432338720553</v>
      </c>
      <c r="D45" s="126">
        <f>MIN('#난이도_계산'!K224:K233)</f>
        <v>31.088950298369983</v>
      </c>
      <c r="E45" s="126">
        <f>MAX('#난이도_계산'!K224:K233)</f>
        <v>49.472265609355603</v>
      </c>
    </row>
    <row r="46" spans="2:5" ht="15.95" customHeight="1" x14ac:dyDescent="0.3">
      <c r="B46" s="127" t="s">
        <v>855</v>
      </c>
      <c r="C46" s="128">
        <f>AVERAGE('#난이도_계산'!K234:K243)</f>
        <v>48.029019467831382</v>
      </c>
      <c r="D46" s="128">
        <f>MIN('#난이도_계산'!K234:K243)</f>
        <v>41.845160726573674</v>
      </c>
      <c r="E46" s="128">
        <f>MAX('#난이도_계산'!K234:K243)</f>
        <v>49.472265609355603</v>
      </c>
    </row>
    <row r="47" spans="2:5" ht="15.95" customHeight="1" x14ac:dyDescent="0.3">
      <c r="B47" s="129" t="s">
        <v>856</v>
      </c>
      <c r="C47" s="130">
        <f>AVERAGE('#난이도_계산'!K244:K253)</f>
        <v>42.745603134291102</v>
      </c>
      <c r="D47" s="130">
        <f>MIN('#난이도_계산'!K244:K253)</f>
        <v>36.845448355961388</v>
      </c>
      <c r="E47" s="130">
        <f>MAX('#난이도_계산'!K244:K253)</f>
        <v>49.472265609355603</v>
      </c>
    </row>
    <row r="48" spans="2:5" ht="15.95" customHeight="1" x14ac:dyDescent="0.3">
      <c r="B48" s="131" t="s">
        <v>857</v>
      </c>
      <c r="C48" s="132">
        <f>AVERAGE('#난이도_계산'!K254:K263)</f>
        <v>41.088512791277857</v>
      </c>
      <c r="D48" s="132">
        <f>MIN('#난이도_계산'!K254:K263)</f>
        <v>30.255717089190593</v>
      </c>
      <c r="E48" s="132">
        <f>MAX('#난이도_계산'!K254:K263)</f>
        <v>48.749680372893152</v>
      </c>
    </row>
    <row r="49" spans="2:5" ht="15.95" customHeight="1" x14ac:dyDescent="0.3">
      <c r="B49" s="123" t="s">
        <v>858</v>
      </c>
      <c r="C49" s="124">
        <f>AVERAGE('#난이도_계산'!K264:K273)</f>
        <v>37.851529168896704</v>
      </c>
      <c r="D49" s="124">
        <f>MIN('#난이도_계산'!K264:K273)</f>
        <v>23.007929832992914</v>
      </c>
      <c r="E49" s="124">
        <f>MAX('#난이도_계산'!K264:K273)</f>
        <v>45.65661420160999</v>
      </c>
    </row>
    <row r="50" spans="2:5" ht="15.95" customHeight="1" x14ac:dyDescent="0.3">
      <c r="B50" s="125" t="s">
        <v>859</v>
      </c>
      <c r="C50" s="126">
        <f>AVERAGE('#난이도_계산'!K274:K283)</f>
        <v>41.851017625305964</v>
      </c>
      <c r="D50" s="126">
        <f>MIN('#난이도_계산'!K274:K283)</f>
        <v>36.19728463294485</v>
      </c>
      <c r="E50" s="126">
        <f>MAX('#난이도_계산'!K274:K283)</f>
        <v>49.472265609355603</v>
      </c>
    </row>
    <row r="51" spans="2:5" ht="15.95" customHeight="1" x14ac:dyDescent="0.3">
      <c r="B51" s="127" t="s">
        <v>860</v>
      </c>
      <c r="C51" s="128">
        <f>AVERAGE('#난이도_계산'!K284:K293)</f>
        <v>40.967849979757197</v>
      </c>
      <c r="D51" s="128">
        <f>MIN('#난이도_계산'!K284:K293)</f>
        <v>31.088950298369983</v>
      </c>
      <c r="E51" s="128">
        <f>MAX('#난이도_계산'!K284:K293)</f>
        <v>49.472265609355603</v>
      </c>
    </row>
    <row r="52" spans="2:5" ht="15.95" customHeight="1" x14ac:dyDescent="0.3">
      <c r="B52" s="129" t="s">
        <v>861</v>
      </c>
      <c r="C52" s="130">
        <f>AVERAGE('#난이도_계산'!K294:K303)</f>
        <v>37.907231835520562</v>
      </c>
      <c r="D52" s="130">
        <f>MIN('#난이도_계산'!K294:K303)</f>
        <v>30.668428851776209</v>
      </c>
      <c r="E52" s="130">
        <f>MAX('#난이도_계산'!K294:K303)</f>
        <v>47.624676220134596</v>
      </c>
    </row>
    <row r="53" spans="2:5" ht="15.95" customHeight="1" x14ac:dyDescent="0.3">
      <c r="B53" s="131" t="s">
        <v>862</v>
      </c>
      <c r="C53" s="132">
        <f>AVERAGE('#난이도_계산'!K304:K313)</f>
        <v>37.889244530390357</v>
      </c>
      <c r="D53" s="132">
        <f>MIN('#난이도_계산'!K304:K313)</f>
        <v>27.057951860306783</v>
      </c>
      <c r="E53" s="132">
        <f>MAX('#난이도_계산'!K304:K313)</f>
        <v>49.472265609355603</v>
      </c>
    </row>
    <row r="54" spans="2:5" ht="15.95" customHeight="1" x14ac:dyDescent="0.3">
      <c r="B54" s="123" t="s">
        <v>863</v>
      </c>
      <c r="C54" s="124">
        <f>AVERAGE('#난이도_계산'!K314:K323)</f>
        <v>39.946903782145611</v>
      </c>
      <c r="D54" s="124">
        <f>MIN('#난이도_계산'!K314:K323)</f>
        <v>31.088950298369983</v>
      </c>
      <c r="E54" s="124">
        <f>MAX('#난이도_계산'!K314:K323)</f>
        <v>48.190914628876648</v>
      </c>
    </row>
    <row r="55" spans="2:5" ht="15.95" customHeight="1" x14ac:dyDescent="0.3">
      <c r="B55" s="125" t="s">
        <v>864</v>
      </c>
      <c r="C55" s="126">
        <f>AVERAGE('#난이도_계산'!K324:K333)</f>
        <v>45.761859542917975</v>
      </c>
      <c r="D55" s="126">
        <f>MIN('#난이도_계산'!K324:K333)</f>
        <v>34.93572029316352</v>
      </c>
      <c r="E55" s="126">
        <f>MAX('#난이도_계산'!K324:K333)</f>
        <v>49.472265609355603</v>
      </c>
    </row>
    <row r="56" spans="2:5" ht="15.95" customHeight="1" x14ac:dyDescent="0.3">
      <c r="B56" s="127" t="s">
        <v>865</v>
      </c>
      <c r="C56" s="128">
        <f>AVERAGE('#난이도_계산'!K334:K343)</f>
        <v>48.496522499044332</v>
      </c>
      <c r="D56" s="128">
        <f>MIN('#난이도_계산'!K334:K343)</f>
        <v>44.480803254859552</v>
      </c>
      <c r="E56" s="128">
        <f>MAX('#난이도_계산'!K334:K343)</f>
        <v>49.472265609355603</v>
      </c>
    </row>
    <row r="57" spans="2:5" ht="15.95" customHeight="1" x14ac:dyDescent="0.3">
      <c r="B57" s="129" t="s">
        <v>866</v>
      </c>
      <c r="C57" s="130">
        <f>AVERAGE('#난이도_계산'!K344:K353)</f>
        <v>44.169534403370712</v>
      </c>
      <c r="D57" s="130">
        <f>MIN('#난이도_계산'!K344:K353)</f>
        <v>39.209846015510841</v>
      </c>
      <c r="E57" s="130">
        <f>MAX('#난이도_계산'!K344:K353)</f>
        <v>49.472265609355603</v>
      </c>
    </row>
    <row r="58" spans="2:5" ht="15.95" customHeight="1" x14ac:dyDescent="0.3">
      <c r="B58" s="131" t="s">
        <v>867</v>
      </c>
      <c r="C58" s="132">
        <f>AVERAGE('#난이도_계산'!K354:K363)</f>
        <v>42.094118933216571</v>
      </c>
      <c r="D58" s="132">
        <f>MIN('#난이도_계산'!K354:K363)</f>
        <v>31.164043413833152</v>
      </c>
      <c r="E58" s="132">
        <f>MAX('#난이도_계산'!K354:K363)</f>
        <v>48.924789816295281</v>
      </c>
    </row>
    <row r="59" spans="2:5" ht="15.95" customHeight="1" x14ac:dyDescent="0.3">
      <c r="B59" s="123" t="s">
        <v>868</v>
      </c>
      <c r="C59" s="124">
        <f>AVERAGE('#난이도_계산'!K364:K373)</f>
        <v>38.84577696394129</v>
      </c>
      <c r="D59" s="124">
        <f>MIN('#난이도_계산'!K364:K373)</f>
        <v>27.057951860306783</v>
      </c>
      <c r="E59" s="124">
        <f>MAX('#난이도_계산'!K364:K373)</f>
        <v>47.050342424606512</v>
      </c>
    </row>
    <row r="60" spans="2:5" ht="15.95" customHeight="1" x14ac:dyDescent="0.3">
      <c r="B60" s="125" t="s">
        <v>869</v>
      </c>
      <c r="C60" s="126">
        <f>AVERAGE('#난이도_계산'!K374:K383)</f>
        <v>42.767310044875231</v>
      </c>
      <c r="D60" s="126">
        <f>MIN('#난이도_계산'!K374:K383)</f>
        <v>36.432776643037371</v>
      </c>
      <c r="E60" s="126">
        <f>MAX('#난이도_계산'!K374:K383)</f>
        <v>49.472265609355603</v>
      </c>
    </row>
    <row r="61" spans="2:5" ht="15.95" customHeight="1" x14ac:dyDescent="0.3">
      <c r="B61" s="127" t="s">
        <v>870</v>
      </c>
      <c r="C61" s="128">
        <f>AVERAGE('#난이도_계산'!K384:K393)</f>
        <v>41.550848087681857</v>
      </c>
      <c r="D61" s="128">
        <f>MIN('#난이도_계산'!K384:K393)</f>
        <v>31.088950298369983</v>
      </c>
      <c r="E61" s="128">
        <f>MAX('#난이도_계산'!K384:K393)</f>
        <v>49.472265609355603</v>
      </c>
    </row>
    <row r="62" spans="2:5" ht="15.95" customHeight="1" x14ac:dyDescent="0.3">
      <c r="B62" s="129" t="s">
        <v>871</v>
      </c>
      <c r="C62" s="130">
        <f>AVERAGE('#난이도_계산'!K394:K403)</f>
        <v>38.184926967096864</v>
      </c>
      <c r="D62" s="130">
        <f>MIN('#난이도_계산'!K394:K403)</f>
        <v>31.088950298369983</v>
      </c>
      <c r="E62" s="130">
        <f>MAX('#난이도_계산'!K394:K403)</f>
        <v>47.624676220134596</v>
      </c>
    </row>
    <row r="63" spans="2:5" ht="15.95" customHeight="1" x14ac:dyDescent="0.3">
      <c r="B63" s="131" t="s">
        <v>872</v>
      </c>
      <c r="C63" s="132">
        <f>AVERAGE('#난이도_계산'!K404:K413)</f>
        <v>38.091128332465587</v>
      </c>
      <c r="D63" s="132">
        <f>MIN('#난이도_계산'!K404:K413)</f>
        <v>26.607393167527732</v>
      </c>
      <c r="E63" s="132">
        <f>MAX('#난이도_계산'!K404:K413)</f>
        <v>49.472265609355603</v>
      </c>
    </row>
    <row r="64" spans="2:5" ht="15.95" customHeight="1" x14ac:dyDescent="0.3">
      <c r="B64" s="123" t="s">
        <v>873</v>
      </c>
      <c r="C64" s="124">
        <f>AVERAGE('#난이도_계산'!K414:K423)</f>
        <v>40.746018157655449</v>
      </c>
      <c r="D64" s="124">
        <f>MIN('#난이도_계산'!K414:K423)</f>
        <v>31.088950298369983</v>
      </c>
      <c r="E64" s="124">
        <f>MAX('#난이도_계산'!K414:K423)</f>
        <v>48.3706322155262</v>
      </c>
    </row>
    <row r="65" spans="2:5" ht="15.95" customHeight="1" x14ac:dyDescent="0.3">
      <c r="B65" s="125" t="s">
        <v>874</v>
      </c>
      <c r="C65" s="126">
        <f>AVERAGE('#난이도_계산'!K424:K433)</f>
        <v>45.963370593090772</v>
      </c>
      <c r="D65" s="126">
        <f>MIN('#난이도_계산'!K424:K433)</f>
        <v>35.356241739757294</v>
      </c>
      <c r="E65" s="126">
        <f>MAX('#난이도_계산'!K424:K433)</f>
        <v>49.472265609355603</v>
      </c>
    </row>
    <row r="66" spans="2:5" ht="15.95" customHeight="1" x14ac:dyDescent="0.3">
      <c r="B66" s="127" t="s">
        <v>875</v>
      </c>
      <c r="C66" s="128">
        <f>AVERAGE('#난이도_계산'!K434:K443)</f>
        <v>48.496522499044332</v>
      </c>
      <c r="D66" s="128">
        <f>MIN('#난이도_계산'!K434:K443)</f>
        <v>44.480803254859552</v>
      </c>
      <c r="E66" s="128">
        <f>MAX('#난이도_계산'!K434:K443)</f>
        <v>49.472265609355603</v>
      </c>
    </row>
    <row r="67" spans="2:5" ht="15.95" customHeight="1" x14ac:dyDescent="0.3">
      <c r="B67" s="129" t="s">
        <v>876</v>
      </c>
      <c r="C67" s="130">
        <f>AVERAGE('#난이도_계산'!K444:K453)</f>
        <v>44.349130690072414</v>
      </c>
      <c r="D67" s="130">
        <f>MIN('#난이도_계산'!K444:K453)</f>
        <v>39.209846015510841</v>
      </c>
      <c r="E67" s="130">
        <f>MAX('#난이도_계산'!K444:K453)</f>
        <v>49.472265609355603</v>
      </c>
    </row>
    <row r="68" spans="2:5" ht="15.95" customHeight="1" x14ac:dyDescent="0.3">
      <c r="B68" s="131" t="s">
        <v>877</v>
      </c>
      <c r="C68" s="132">
        <f>AVERAGE('#난이도_계산'!K454:K463)</f>
        <v>42.233248572707971</v>
      </c>
      <c r="D68" s="132">
        <f>MIN('#난이도_계산'!K454:K463)</f>
        <v>31.164043413833152</v>
      </c>
      <c r="E68" s="132">
        <f>MAX('#난이도_계산'!K454:K463)</f>
        <v>48.924789816295281</v>
      </c>
    </row>
    <row r="69" spans="2:5" ht="15.95" customHeight="1" x14ac:dyDescent="0.3">
      <c r="B69" s="123" t="s">
        <v>878</v>
      </c>
      <c r="C69" s="124">
        <f>AVERAGE('#난이도_계산'!K464:K473)</f>
        <v>38.966444764056448</v>
      </c>
      <c r="D69" s="124">
        <f>MIN('#난이도_계산'!K464:K473)</f>
        <v>27.057951860306783</v>
      </c>
      <c r="E69" s="124">
        <f>MAX('#난이도_계산'!K464:K473)</f>
        <v>47.240044321625483</v>
      </c>
    </row>
    <row r="70" spans="2:5" ht="15.95" customHeight="1" x14ac:dyDescent="0.3">
      <c r="B70" s="125" t="s">
        <v>879</v>
      </c>
      <c r="C70" s="126">
        <f>AVERAGE('#난이도_계산'!K474:K483)</f>
        <v>42.988062050088963</v>
      </c>
      <c r="D70" s="126">
        <f>MIN('#난이도_계산'!K474:K483)</f>
        <v>36.845448355961388</v>
      </c>
      <c r="E70" s="126">
        <f>MAX('#난이도_계산'!K474:K483)</f>
        <v>49.472265609355603</v>
      </c>
    </row>
    <row r="71" spans="2:5" ht="15.95" customHeight="1" x14ac:dyDescent="0.3">
      <c r="B71" s="127" t="s">
        <v>880</v>
      </c>
      <c r="C71" s="128">
        <f>AVERAGE('#난이도_계산'!K484:K493)</f>
        <v>41.630706067934106</v>
      </c>
      <c r="D71" s="128">
        <f>MIN('#난이도_계산'!K484:K493)</f>
        <v>31.088950298369983</v>
      </c>
      <c r="E71" s="128">
        <f>MAX('#난이도_계산'!K484:K493)</f>
        <v>49.472265609355603</v>
      </c>
    </row>
    <row r="72" spans="2:5" ht="15.95" customHeight="1" x14ac:dyDescent="0.3">
      <c r="B72" s="129" t="s">
        <v>881</v>
      </c>
      <c r="C72" s="130">
        <f>AVERAGE('#난이도_계산'!K494:K503)</f>
        <v>38.20389715679876</v>
      </c>
      <c r="D72" s="130">
        <f>MIN('#난이도_계산'!K494:K503)</f>
        <v>31.088950298369983</v>
      </c>
      <c r="E72" s="130">
        <f>MAX('#난이도_계산'!K494:K503)</f>
        <v>47.624676220134596</v>
      </c>
    </row>
    <row r="73" spans="2:5" ht="15.95" customHeight="1" x14ac:dyDescent="0.3">
      <c r="B73" s="131" t="s">
        <v>882</v>
      </c>
      <c r="C73" s="132">
        <f>AVERAGE('#난이도_계산'!K504:K513)</f>
        <v>38.228999292455974</v>
      </c>
      <c r="D73" s="132">
        <f>MIN('#난이도_계산'!K504:K513)</f>
        <v>26.607393167527732</v>
      </c>
      <c r="E73" s="132">
        <f>MAX('#난이도_계산'!K504:K513)</f>
        <v>49.472265609355603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Stage</vt:lpstr>
      <vt:lpstr>ChapterInfo</vt:lpstr>
      <vt:lpstr>StageInfo</vt:lpstr>
      <vt:lpstr>StackInfo</vt:lpstr>
      <vt:lpstr>#난이도_계산</vt:lpstr>
      <vt:lpstr>#난이도_곡선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KYU MONG</dc:creator>
  <cp:lastModifiedBy>심아영</cp:lastModifiedBy>
  <dcterms:created xsi:type="dcterms:W3CDTF">2024-08-24T10:38:02Z</dcterms:created>
  <dcterms:modified xsi:type="dcterms:W3CDTF">2026-05-09T14:08:04Z</dcterms:modified>
</cp:coreProperties>
</file>